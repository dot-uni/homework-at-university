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lsinicyn/projects/cpp_code/hw/hashmap/result/"/>
    </mc:Choice>
  </mc:AlternateContent>
  <xr:revisionPtr revIDLastSave="0" documentId="13_ncr:1_{E4DEFF24-1F8F-9247-80A0-5AE1BECB1756}" xr6:coauthVersionLast="47" xr6:coauthVersionMax="47" xr10:uidLastSave="{00000000-0000-0000-0000-000000000000}"/>
  <bookViews>
    <workbookView xWindow="0" yWindow="760" windowWidth="34560" windowHeight="19880" xr2:uid="{A33D225E-972F-6B44-B385-8B34C54DC1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1" l="1"/>
  <c r="V28" i="1"/>
  <c r="V26" i="1"/>
  <c r="V27" i="1"/>
  <c r="V5" i="1"/>
  <c r="V8" i="1"/>
  <c r="V7" i="1"/>
  <c r="V6" i="1"/>
  <c r="O9" i="1"/>
  <c r="O6" i="1"/>
  <c r="N9" i="1"/>
  <c r="N6" i="1"/>
  <c r="N8" i="1" s="1"/>
  <c r="M9" i="1"/>
  <c r="M6" i="1"/>
  <c r="M8" i="1" s="1"/>
  <c r="L9" i="1"/>
  <c r="L6" i="1"/>
  <c r="O8" i="1"/>
  <c r="L8" i="1"/>
  <c r="O7" i="1"/>
  <c r="N7" i="1"/>
  <c r="M7" i="1"/>
  <c r="L7" i="1"/>
  <c r="O5" i="1"/>
  <c r="N5" i="1"/>
  <c r="M5" i="1"/>
  <c r="O4" i="1"/>
  <c r="N4" i="1"/>
  <c r="M4" i="1"/>
  <c r="L5" i="1"/>
  <c r="L4" i="1"/>
</calcChain>
</file>

<file path=xl/sharedStrings.xml><?xml version="1.0" encoding="utf-8"?>
<sst xmlns="http://schemas.openxmlformats.org/spreadsheetml/2006/main" count="40" uniqueCount="26">
  <si>
    <t>HASHMAP_1(5/70)</t>
  </si>
  <si>
    <t>HASHMAP_3(11/121)</t>
  </si>
  <si>
    <t>HASHMAP_2(7/103)</t>
  </si>
  <si>
    <t>HASHMAP_4(2/100)</t>
  </si>
  <si>
    <t>Коэф. неравномерности</t>
  </si>
  <si>
    <t>Медиана</t>
  </si>
  <si>
    <t xml:space="preserve">Среднее значение </t>
  </si>
  <si>
    <t>Максимум</t>
  </si>
  <si>
    <t>Минимум</t>
  </si>
  <si>
    <t>Станд. отклонение</t>
  </si>
  <si>
    <t>– лучший</t>
  </si>
  <si>
    <t>– худший</t>
  </si>
  <si>
    <t xml:space="preserve">Место </t>
  </si>
  <si>
    <t>Номер hashmap</t>
  </si>
  <si>
    <t>Основные метрики</t>
  </si>
  <si>
    <t>ИТОГИ</t>
  </si>
  <si>
    <t>Скорость нахождения элемента</t>
  </si>
  <si>
    <t>Память</t>
  </si>
  <si>
    <t>Баланс скорости и памяти</t>
  </si>
  <si>
    <t>Надежность / предсказуемость (стабильность)</t>
  </si>
  <si>
    <t>hashmap size = 70</t>
  </si>
  <si>
    <t>hashmap size = 100</t>
  </si>
  <si>
    <t>hashmap size = 103</t>
  </si>
  <si>
    <t>hashmap size = 121</t>
  </si>
  <si>
    <t>ЛУЧШИЙ</t>
  </si>
  <si>
    <t>ХУДШИЙ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</si>
</sst>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4C44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/>
    <xf numFmtId="0" fontId="0" fillId="0" borderId="13" xfId="0" applyBorder="1"/>
    <xf numFmtId="0" fontId="1" fillId="0" borderId="13" xfId="0" applyFont="1" applyBorder="1"/>
    <xf numFmtId="0" fontId="0" fillId="0" borderId="0" xfId="0" applyBorder="1"/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2" fillId="0" borderId="0" xfId="0" applyFont="1"/>
    <xf numFmtId="0" fontId="0" fillId="5" borderId="13" xfId="0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/>
    <xf numFmtId="0" fontId="0" fillId="0" borderId="14" xfId="0" applyBorder="1"/>
    <xf numFmtId="0" fontId="3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E79"/>
      <color rgb="FFFF4C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Hashmap_1(5/70)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Лист1!$B$3:$B$72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Лист1!$C$3:$C$72</c:f>
              <c:numCache>
                <c:formatCode>General</c:formatCode>
                <c:ptCount val="70"/>
                <c:pt idx="0">
                  <c:v>148</c:v>
                </c:pt>
                <c:pt idx="1">
                  <c:v>139</c:v>
                </c:pt>
                <c:pt idx="2">
                  <c:v>167</c:v>
                </c:pt>
                <c:pt idx="3">
                  <c:v>144</c:v>
                </c:pt>
                <c:pt idx="4">
                  <c:v>151</c:v>
                </c:pt>
                <c:pt idx="5">
                  <c:v>134</c:v>
                </c:pt>
                <c:pt idx="6">
                  <c:v>126</c:v>
                </c:pt>
                <c:pt idx="7">
                  <c:v>161</c:v>
                </c:pt>
                <c:pt idx="8">
                  <c:v>136</c:v>
                </c:pt>
                <c:pt idx="9">
                  <c:v>138</c:v>
                </c:pt>
                <c:pt idx="10">
                  <c:v>129</c:v>
                </c:pt>
                <c:pt idx="11">
                  <c:v>138</c:v>
                </c:pt>
                <c:pt idx="12">
                  <c:v>165</c:v>
                </c:pt>
                <c:pt idx="13">
                  <c:v>139</c:v>
                </c:pt>
                <c:pt idx="14">
                  <c:v>147</c:v>
                </c:pt>
                <c:pt idx="15">
                  <c:v>127</c:v>
                </c:pt>
                <c:pt idx="16">
                  <c:v>141</c:v>
                </c:pt>
                <c:pt idx="17">
                  <c:v>155</c:v>
                </c:pt>
                <c:pt idx="18">
                  <c:v>123</c:v>
                </c:pt>
                <c:pt idx="19">
                  <c:v>139</c:v>
                </c:pt>
                <c:pt idx="20">
                  <c:v>135</c:v>
                </c:pt>
                <c:pt idx="21">
                  <c:v>150</c:v>
                </c:pt>
                <c:pt idx="22">
                  <c:v>162</c:v>
                </c:pt>
                <c:pt idx="23">
                  <c:v>135</c:v>
                </c:pt>
                <c:pt idx="24">
                  <c:v>130</c:v>
                </c:pt>
                <c:pt idx="25">
                  <c:v>130</c:v>
                </c:pt>
                <c:pt idx="26">
                  <c:v>145</c:v>
                </c:pt>
                <c:pt idx="27">
                  <c:v>171</c:v>
                </c:pt>
                <c:pt idx="28">
                  <c:v>145</c:v>
                </c:pt>
                <c:pt idx="29">
                  <c:v>148</c:v>
                </c:pt>
                <c:pt idx="30">
                  <c:v>132</c:v>
                </c:pt>
                <c:pt idx="31">
                  <c:v>134</c:v>
                </c:pt>
                <c:pt idx="32">
                  <c:v>172</c:v>
                </c:pt>
                <c:pt idx="33">
                  <c:v>123</c:v>
                </c:pt>
                <c:pt idx="34">
                  <c:v>147</c:v>
                </c:pt>
                <c:pt idx="35">
                  <c:v>125</c:v>
                </c:pt>
                <c:pt idx="36">
                  <c:v>160</c:v>
                </c:pt>
                <c:pt idx="37">
                  <c:v>179</c:v>
                </c:pt>
                <c:pt idx="38">
                  <c:v>144</c:v>
                </c:pt>
                <c:pt idx="39">
                  <c:v>126</c:v>
                </c:pt>
                <c:pt idx="40">
                  <c:v>143</c:v>
                </c:pt>
                <c:pt idx="41">
                  <c:v>121</c:v>
                </c:pt>
                <c:pt idx="42">
                  <c:v>171</c:v>
                </c:pt>
                <c:pt idx="43">
                  <c:v>152</c:v>
                </c:pt>
                <c:pt idx="44">
                  <c:v>151</c:v>
                </c:pt>
                <c:pt idx="45">
                  <c:v>128</c:v>
                </c:pt>
                <c:pt idx="46">
                  <c:v>149</c:v>
                </c:pt>
                <c:pt idx="47">
                  <c:v>153</c:v>
                </c:pt>
                <c:pt idx="48">
                  <c:v>143</c:v>
                </c:pt>
                <c:pt idx="49">
                  <c:v>150</c:v>
                </c:pt>
                <c:pt idx="50">
                  <c:v>124</c:v>
                </c:pt>
                <c:pt idx="51">
                  <c:v>126</c:v>
                </c:pt>
                <c:pt idx="52">
                  <c:v>163</c:v>
                </c:pt>
                <c:pt idx="53">
                  <c:v>114</c:v>
                </c:pt>
                <c:pt idx="54">
                  <c:v>115</c:v>
                </c:pt>
                <c:pt idx="55">
                  <c:v>131</c:v>
                </c:pt>
                <c:pt idx="56">
                  <c:v>133</c:v>
                </c:pt>
                <c:pt idx="57">
                  <c:v>160</c:v>
                </c:pt>
                <c:pt idx="58">
                  <c:v>165</c:v>
                </c:pt>
                <c:pt idx="59">
                  <c:v>141</c:v>
                </c:pt>
                <c:pt idx="60">
                  <c:v>131</c:v>
                </c:pt>
                <c:pt idx="61">
                  <c:v>135</c:v>
                </c:pt>
                <c:pt idx="62">
                  <c:v>154</c:v>
                </c:pt>
                <c:pt idx="63">
                  <c:v>141</c:v>
                </c:pt>
                <c:pt idx="64">
                  <c:v>129</c:v>
                </c:pt>
                <c:pt idx="65">
                  <c:v>135</c:v>
                </c:pt>
                <c:pt idx="66">
                  <c:v>155</c:v>
                </c:pt>
                <c:pt idx="67">
                  <c:v>157</c:v>
                </c:pt>
                <c:pt idx="68">
                  <c:v>135</c:v>
                </c:pt>
                <c:pt idx="69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A9-3144-8D1F-4CCF2C7A4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38544"/>
        <c:axId val="2104636832"/>
      </c:scatterChart>
      <c:valAx>
        <c:axId val="53513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636832"/>
        <c:crosses val="autoZero"/>
        <c:crossBetween val="midCat"/>
      </c:valAx>
      <c:valAx>
        <c:axId val="210463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513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Hashmap_2(7/103)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Лист1!$D$3:$D$105</c:f>
              <c:numCache>
                <c:formatCode>General</c:formatCode>
                <c:ptCount val="1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</c:numCache>
            </c:numRef>
          </c:xVal>
          <c:yVal>
            <c:numRef>
              <c:f>Лист1!$E$3:$E$105</c:f>
              <c:numCache>
                <c:formatCode>General</c:formatCode>
                <c:ptCount val="103"/>
                <c:pt idx="0">
                  <c:v>100</c:v>
                </c:pt>
                <c:pt idx="1">
                  <c:v>93</c:v>
                </c:pt>
                <c:pt idx="2">
                  <c:v>86</c:v>
                </c:pt>
                <c:pt idx="3">
                  <c:v>89</c:v>
                </c:pt>
                <c:pt idx="4">
                  <c:v>92</c:v>
                </c:pt>
                <c:pt idx="5">
                  <c:v>89</c:v>
                </c:pt>
                <c:pt idx="6">
                  <c:v>82</c:v>
                </c:pt>
                <c:pt idx="7">
                  <c:v>106</c:v>
                </c:pt>
                <c:pt idx="8">
                  <c:v>101</c:v>
                </c:pt>
                <c:pt idx="9">
                  <c:v>106</c:v>
                </c:pt>
                <c:pt idx="10">
                  <c:v>109</c:v>
                </c:pt>
                <c:pt idx="11">
                  <c:v>106</c:v>
                </c:pt>
                <c:pt idx="12">
                  <c:v>109</c:v>
                </c:pt>
                <c:pt idx="13">
                  <c:v>90</c:v>
                </c:pt>
                <c:pt idx="14">
                  <c:v>89</c:v>
                </c:pt>
                <c:pt idx="15">
                  <c:v>111</c:v>
                </c:pt>
                <c:pt idx="16">
                  <c:v>78</c:v>
                </c:pt>
                <c:pt idx="17">
                  <c:v>105</c:v>
                </c:pt>
                <c:pt idx="18">
                  <c:v>93</c:v>
                </c:pt>
                <c:pt idx="19">
                  <c:v>89</c:v>
                </c:pt>
                <c:pt idx="20">
                  <c:v>106</c:v>
                </c:pt>
                <c:pt idx="21">
                  <c:v>93</c:v>
                </c:pt>
                <c:pt idx="22">
                  <c:v>102</c:v>
                </c:pt>
                <c:pt idx="23">
                  <c:v>96</c:v>
                </c:pt>
                <c:pt idx="24">
                  <c:v>72</c:v>
                </c:pt>
                <c:pt idx="25">
                  <c:v>77</c:v>
                </c:pt>
                <c:pt idx="26">
                  <c:v>90</c:v>
                </c:pt>
                <c:pt idx="27">
                  <c:v>98</c:v>
                </c:pt>
                <c:pt idx="28">
                  <c:v>91</c:v>
                </c:pt>
                <c:pt idx="29">
                  <c:v>120</c:v>
                </c:pt>
                <c:pt idx="30">
                  <c:v>91</c:v>
                </c:pt>
                <c:pt idx="31">
                  <c:v>102</c:v>
                </c:pt>
                <c:pt idx="32">
                  <c:v>94</c:v>
                </c:pt>
                <c:pt idx="33">
                  <c:v>103</c:v>
                </c:pt>
                <c:pt idx="34">
                  <c:v>91</c:v>
                </c:pt>
                <c:pt idx="35">
                  <c:v>102</c:v>
                </c:pt>
                <c:pt idx="36">
                  <c:v>101</c:v>
                </c:pt>
                <c:pt idx="37">
                  <c:v>91</c:v>
                </c:pt>
                <c:pt idx="38">
                  <c:v>106</c:v>
                </c:pt>
                <c:pt idx="39">
                  <c:v>113</c:v>
                </c:pt>
                <c:pt idx="40">
                  <c:v>97</c:v>
                </c:pt>
                <c:pt idx="41">
                  <c:v>121</c:v>
                </c:pt>
                <c:pt idx="42">
                  <c:v>93</c:v>
                </c:pt>
                <c:pt idx="43">
                  <c:v>103</c:v>
                </c:pt>
                <c:pt idx="44">
                  <c:v>92</c:v>
                </c:pt>
                <c:pt idx="45">
                  <c:v>107</c:v>
                </c:pt>
                <c:pt idx="46">
                  <c:v>77</c:v>
                </c:pt>
                <c:pt idx="47">
                  <c:v>89</c:v>
                </c:pt>
                <c:pt idx="48">
                  <c:v>95</c:v>
                </c:pt>
                <c:pt idx="49">
                  <c:v>101</c:v>
                </c:pt>
                <c:pt idx="50">
                  <c:v>107</c:v>
                </c:pt>
                <c:pt idx="51">
                  <c:v>103</c:v>
                </c:pt>
                <c:pt idx="52">
                  <c:v>103</c:v>
                </c:pt>
                <c:pt idx="53">
                  <c:v>82</c:v>
                </c:pt>
                <c:pt idx="54">
                  <c:v>78</c:v>
                </c:pt>
                <c:pt idx="55">
                  <c:v>95</c:v>
                </c:pt>
                <c:pt idx="56">
                  <c:v>99</c:v>
                </c:pt>
                <c:pt idx="57">
                  <c:v>108</c:v>
                </c:pt>
                <c:pt idx="58">
                  <c:v>90</c:v>
                </c:pt>
                <c:pt idx="59">
                  <c:v>107</c:v>
                </c:pt>
                <c:pt idx="60">
                  <c:v>106</c:v>
                </c:pt>
                <c:pt idx="61">
                  <c:v>96</c:v>
                </c:pt>
                <c:pt idx="62">
                  <c:v>109</c:v>
                </c:pt>
                <c:pt idx="63">
                  <c:v>89</c:v>
                </c:pt>
                <c:pt idx="64">
                  <c:v>98</c:v>
                </c:pt>
                <c:pt idx="65">
                  <c:v>98</c:v>
                </c:pt>
                <c:pt idx="66">
                  <c:v>96</c:v>
                </c:pt>
                <c:pt idx="67">
                  <c:v>92</c:v>
                </c:pt>
                <c:pt idx="68">
                  <c:v>97</c:v>
                </c:pt>
                <c:pt idx="69">
                  <c:v>99</c:v>
                </c:pt>
                <c:pt idx="70">
                  <c:v>97</c:v>
                </c:pt>
                <c:pt idx="71">
                  <c:v>112</c:v>
                </c:pt>
                <c:pt idx="72">
                  <c:v>94</c:v>
                </c:pt>
                <c:pt idx="73">
                  <c:v>111</c:v>
                </c:pt>
                <c:pt idx="74">
                  <c:v>101</c:v>
                </c:pt>
                <c:pt idx="75">
                  <c:v>95</c:v>
                </c:pt>
                <c:pt idx="76">
                  <c:v>91</c:v>
                </c:pt>
                <c:pt idx="77">
                  <c:v>97</c:v>
                </c:pt>
                <c:pt idx="78">
                  <c:v>81</c:v>
                </c:pt>
                <c:pt idx="79">
                  <c:v>108</c:v>
                </c:pt>
                <c:pt idx="80">
                  <c:v>111</c:v>
                </c:pt>
                <c:pt idx="81">
                  <c:v>90</c:v>
                </c:pt>
                <c:pt idx="82">
                  <c:v>106</c:v>
                </c:pt>
                <c:pt idx="83">
                  <c:v>88</c:v>
                </c:pt>
                <c:pt idx="84">
                  <c:v>97</c:v>
                </c:pt>
                <c:pt idx="85">
                  <c:v>100</c:v>
                </c:pt>
                <c:pt idx="86">
                  <c:v>97</c:v>
                </c:pt>
                <c:pt idx="87">
                  <c:v>101</c:v>
                </c:pt>
                <c:pt idx="88">
                  <c:v>107</c:v>
                </c:pt>
                <c:pt idx="89">
                  <c:v>107</c:v>
                </c:pt>
                <c:pt idx="90">
                  <c:v>89</c:v>
                </c:pt>
                <c:pt idx="91">
                  <c:v>96</c:v>
                </c:pt>
                <c:pt idx="92">
                  <c:v>102</c:v>
                </c:pt>
                <c:pt idx="93">
                  <c:v>87</c:v>
                </c:pt>
                <c:pt idx="94">
                  <c:v>80</c:v>
                </c:pt>
                <c:pt idx="95">
                  <c:v>95</c:v>
                </c:pt>
                <c:pt idx="96">
                  <c:v>98</c:v>
                </c:pt>
                <c:pt idx="97">
                  <c:v>89</c:v>
                </c:pt>
                <c:pt idx="98">
                  <c:v>111</c:v>
                </c:pt>
                <c:pt idx="99">
                  <c:v>92</c:v>
                </c:pt>
                <c:pt idx="100">
                  <c:v>92</c:v>
                </c:pt>
                <c:pt idx="101">
                  <c:v>99</c:v>
                </c:pt>
                <c:pt idx="10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0-CF4F-B737-6FDDC5379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145904"/>
        <c:axId val="2106320528"/>
      </c:scatterChart>
      <c:valAx>
        <c:axId val="15021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6320528"/>
        <c:crosses val="autoZero"/>
        <c:crossBetween val="midCat"/>
      </c:valAx>
      <c:valAx>
        <c:axId val="21063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214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Hashmap_3(11/121)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Лист1!$F$3:$F$123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Лист1!$G$3:$G$123</c:f>
              <c:numCache>
                <c:formatCode>General</c:formatCode>
                <c:ptCount val="121"/>
                <c:pt idx="0">
                  <c:v>107</c:v>
                </c:pt>
                <c:pt idx="1">
                  <c:v>146</c:v>
                </c:pt>
                <c:pt idx="2">
                  <c:v>75</c:v>
                </c:pt>
                <c:pt idx="3">
                  <c:v>65</c:v>
                </c:pt>
                <c:pt idx="4">
                  <c:v>65</c:v>
                </c:pt>
                <c:pt idx="5">
                  <c:v>78</c:v>
                </c:pt>
                <c:pt idx="6">
                  <c:v>77</c:v>
                </c:pt>
                <c:pt idx="7">
                  <c:v>68</c:v>
                </c:pt>
                <c:pt idx="8">
                  <c:v>80</c:v>
                </c:pt>
                <c:pt idx="9">
                  <c:v>81</c:v>
                </c:pt>
                <c:pt idx="10">
                  <c:v>101</c:v>
                </c:pt>
                <c:pt idx="11">
                  <c:v>102</c:v>
                </c:pt>
                <c:pt idx="12">
                  <c:v>92</c:v>
                </c:pt>
                <c:pt idx="13">
                  <c:v>66</c:v>
                </c:pt>
                <c:pt idx="14">
                  <c:v>64</c:v>
                </c:pt>
                <c:pt idx="15">
                  <c:v>54</c:v>
                </c:pt>
                <c:pt idx="16">
                  <c:v>58</c:v>
                </c:pt>
                <c:pt idx="17">
                  <c:v>60</c:v>
                </c:pt>
                <c:pt idx="18">
                  <c:v>65</c:v>
                </c:pt>
                <c:pt idx="19">
                  <c:v>60</c:v>
                </c:pt>
                <c:pt idx="20">
                  <c:v>106</c:v>
                </c:pt>
                <c:pt idx="21">
                  <c:v>80</c:v>
                </c:pt>
                <c:pt idx="22">
                  <c:v>94</c:v>
                </c:pt>
                <c:pt idx="23">
                  <c:v>90</c:v>
                </c:pt>
                <c:pt idx="24">
                  <c:v>51</c:v>
                </c:pt>
                <c:pt idx="25">
                  <c:v>56</c:v>
                </c:pt>
                <c:pt idx="26">
                  <c:v>62</c:v>
                </c:pt>
                <c:pt idx="27">
                  <c:v>70</c:v>
                </c:pt>
                <c:pt idx="28">
                  <c:v>71</c:v>
                </c:pt>
                <c:pt idx="29">
                  <c:v>57</c:v>
                </c:pt>
                <c:pt idx="30">
                  <c:v>42</c:v>
                </c:pt>
                <c:pt idx="31">
                  <c:v>87</c:v>
                </c:pt>
                <c:pt idx="32">
                  <c:v>100</c:v>
                </c:pt>
                <c:pt idx="33">
                  <c:v>99</c:v>
                </c:pt>
                <c:pt idx="34">
                  <c:v>83</c:v>
                </c:pt>
                <c:pt idx="35">
                  <c:v>57</c:v>
                </c:pt>
                <c:pt idx="36">
                  <c:v>72</c:v>
                </c:pt>
                <c:pt idx="37">
                  <c:v>52</c:v>
                </c:pt>
                <c:pt idx="38">
                  <c:v>52</c:v>
                </c:pt>
                <c:pt idx="39">
                  <c:v>69</c:v>
                </c:pt>
                <c:pt idx="40">
                  <c:v>63</c:v>
                </c:pt>
                <c:pt idx="41">
                  <c:v>59</c:v>
                </c:pt>
                <c:pt idx="42">
                  <c:v>78</c:v>
                </c:pt>
                <c:pt idx="43">
                  <c:v>88</c:v>
                </c:pt>
                <c:pt idx="44">
                  <c:v>70</c:v>
                </c:pt>
                <c:pt idx="45">
                  <c:v>100</c:v>
                </c:pt>
                <c:pt idx="46">
                  <c:v>74</c:v>
                </c:pt>
                <c:pt idx="47">
                  <c:v>65</c:v>
                </c:pt>
                <c:pt idx="48">
                  <c:v>60</c:v>
                </c:pt>
                <c:pt idx="49">
                  <c:v>68</c:v>
                </c:pt>
                <c:pt idx="50">
                  <c:v>62</c:v>
                </c:pt>
                <c:pt idx="51">
                  <c:v>64</c:v>
                </c:pt>
                <c:pt idx="52">
                  <c:v>59</c:v>
                </c:pt>
                <c:pt idx="53">
                  <c:v>82</c:v>
                </c:pt>
                <c:pt idx="54">
                  <c:v>86</c:v>
                </c:pt>
                <c:pt idx="55">
                  <c:v>88</c:v>
                </c:pt>
                <c:pt idx="56">
                  <c:v>85</c:v>
                </c:pt>
                <c:pt idx="57">
                  <c:v>57</c:v>
                </c:pt>
                <c:pt idx="58">
                  <c:v>59</c:v>
                </c:pt>
                <c:pt idx="59">
                  <c:v>86</c:v>
                </c:pt>
                <c:pt idx="60">
                  <c:v>53</c:v>
                </c:pt>
                <c:pt idx="61">
                  <c:v>55</c:v>
                </c:pt>
                <c:pt idx="62">
                  <c:v>58</c:v>
                </c:pt>
                <c:pt idx="63">
                  <c:v>51</c:v>
                </c:pt>
                <c:pt idx="64">
                  <c:v>104</c:v>
                </c:pt>
                <c:pt idx="65">
                  <c:v>96</c:v>
                </c:pt>
                <c:pt idx="66">
                  <c:v>96</c:v>
                </c:pt>
                <c:pt idx="67">
                  <c:v>96</c:v>
                </c:pt>
                <c:pt idx="68">
                  <c:v>54</c:v>
                </c:pt>
                <c:pt idx="69">
                  <c:v>68</c:v>
                </c:pt>
                <c:pt idx="70">
                  <c:v>59</c:v>
                </c:pt>
                <c:pt idx="71">
                  <c:v>42</c:v>
                </c:pt>
                <c:pt idx="72">
                  <c:v>66</c:v>
                </c:pt>
                <c:pt idx="73">
                  <c:v>67</c:v>
                </c:pt>
                <c:pt idx="74">
                  <c:v>57</c:v>
                </c:pt>
                <c:pt idx="75">
                  <c:v>101</c:v>
                </c:pt>
                <c:pt idx="76">
                  <c:v>99</c:v>
                </c:pt>
                <c:pt idx="77">
                  <c:v>86</c:v>
                </c:pt>
                <c:pt idx="78">
                  <c:v>99</c:v>
                </c:pt>
                <c:pt idx="79">
                  <c:v>80</c:v>
                </c:pt>
                <c:pt idx="80">
                  <c:v>81</c:v>
                </c:pt>
                <c:pt idx="81">
                  <c:v>79</c:v>
                </c:pt>
                <c:pt idx="82">
                  <c:v>74</c:v>
                </c:pt>
                <c:pt idx="83">
                  <c:v>70</c:v>
                </c:pt>
                <c:pt idx="84">
                  <c:v>71</c:v>
                </c:pt>
                <c:pt idx="85">
                  <c:v>67</c:v>
                </c:pt>
                <c:pt idx="86">
                  <c:v>107</c:v>
                </c:pt>
                <c:pt idx="87">
                  <c:v>104</c:v>
                </c:pt>
                <c:pt idx="88">
                  <c:v>115</c:v>
                </c:pt>
                <c:pt idx="89">
                  <c:v>102</c:v>
                </c:pt>
                <c:pt idx="90">
                  <c:v>96</c:v>
                </c:pt>
                <c:pt idx="91">
                  <c:v>97</c:v>
                </c:pt>
                <c:pt idx="92">
                  <c:v>100</c:v>
                </c:pt>
                <c:pt idx="93">
                  <c:v>72</c:v>
                </c:pt>
                <c:pt idx="94">
                  <c:v>90</c:v>
                </c:pt>
                <c:pt idx="95">
                  <c:v>84</c:v>
                </c:pt>
                <c:pt idx="96">
                  <c:v>87</c:v>
                </c:pt>
                <c:pt idx="97">
                  <c:v>137</c:v>
                </c:pt>
                <c:pt idx="98">
                  <c:v>136</c:v>
                </c:pt>
                <c:pt idx="99">
                  <c:v>147</c:v>
                </c:pt>
                <c:pt idx="100">
                  <c:v>119</c:v>
                </c:pt>
                <c:pt idx="101">
                  <c:v>89</c:v>
                </c:pt>
                <c:pt idx="102">
                  <c:v>84</c:v>
                </c:pt>
                <c:pt idx="103">
                  <c:v>98</c:v>
                </c:pt>
                <c:pt idx="104">
                  <c:v>91</c:v>
                </c:pt>
                <c:pt idx="105">
                  <c:v>78</c:v>
                </c:pt>
                <c:pt idx="106">
                  <c:v>84</c:v>
                </c:pt>
                <c:pt idx="107">
                  <c:v>71</c:v>
                </c:pt>
                <c:pt idx="108">
                  <c:v>135</c:v>
                </c:pt>
                <c:pt idx="109">
                  <c:v>147</c:v>
                </c:pt>
                <c:pt idx="110">
                  <c:v>150</c:v>
                </c:pt>
                <c:pt idx="111">
                  <c:v>119</c:v>
                </c:pt>
                <c:pt idx="112">
                  <c:v>115</c:v>
                </c:pt>
                <c:pt idx="113">
                  <c:v>88</c:v>
                </c:pt>
                <c:pt idx="114">
                  <c:v>81</c:v>
                </c:pt>
                <c:pt idx="115">
                  <c:v>75</c:v>
                </c:pt>
                <c:pt idx="116">
                  <c:v>89</c:v>
                </c:pt>
                <c:pt idx="117">
                  <c:v>103</c:v>
                </c:pt>
                <c:pt idx="118">
                  <c:v>107</c:v>
                </c:pt>
                <c:pt idx="119">
                  <c:v>104</c:v>
                </c:pt>
                <c:pt idx="120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E-9847-9D41-E40C3E525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826000"/>
        <c:axId val="329827728"/>
      </c:scatterChart>
      <c:valAx>
        <c:axId val="3298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827728"/>
        <c:crosses val="autoZero"/>
        <c:crossBetween val="midCat"/>
      </c:valAx>
      <c:valAx>
        <c:axId val="3298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982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Hashmap_4(2/100)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Лист1!$H$3:$H$102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Лист1!$I$3:$I$102</c:f>
              <c:numCache>
                <c:formatCode>General</c:formatCode>
                <c:ptCount val="100"/>
                <c:pt idx="0">
                  <c:v>100</c:v>
                </c:pt>
                <c:pt idx="1">
                  <c:v>107</c:v>
                </c:pt>
                <c:pt idx="2">
                  <c:v>85</c:v>
                </c:pt>
                <c:pt idx="3">
                  <c:v>93</c:v>
                </c:pt>
                <c:pt idx="4">
                  <c:v>96</c:v>
                </c:pt>
                <c:pt idx="5">
                  <c:v>93</c:v>
                </c:pt>
                <c:pt idx="6">
                  <c:v>102</c:v>
                </c:pt>
                <c:pt idx="7">
                  <c:v>108</c:v>
                </c:pt>
                <c:pt idx="8">
                  <c:v>101</c:v>
                </c:pt>
                <c:pt idx="9">
                  <c:v>99</c:v>
                </c:pt>
                <c:pt idx="10">
                  <c:v>98</c:v>
                </c:pt>
                <c:pt idx="11">
                  <c:v>97</c:v>
                </c:pt>
                <c:pt idx="12">
                  <c:v>102</c:v>
                </c:pt>
                <c:pt idx="13">
                  <c:v>102</c:v>
                </c:pt>
                <c:pt idx="14">
                  <c:v>90</c:v>
                </c:pt>
                <c:pt idx="15">
                  <c:v>99</c:v>
                </c:pt>
                <c:pt idx="16">
                  <c:v>100</c:v>
                </c:pt>
                <c:pt idx="17">
                  <c:v>99</c:v>
                </c:pt>
                <c:pt idx="18">
                  <c:v>101</c:v>
                </c:pt>
                <c:pt idx="19">
                  <c:v>100</c:v>
                </c:pt>
                <c:pt idx="20">
                  <c:v>76</c:v>
                </c:pt>
                <c:pt idx="21">
                  <c:v>106</c:v>
                </c:pt>
                <c:pt idx="22">
                  <c:v>108</c:v>
                </c:pt>
                <c:pt idx="23">
                  <c:v>106</c:v>
                </c:pt>
                <c:pt idx="24">
                  <c:v>85</c:v>
                </c:pt>
                <c:pt idx="25">
                  <c:v>89</c:v>
                </c:pt>
                <c:pt idx="26">
                  <c:v>85</c:v>
                </c:pt>
                <c:pt idx="27">
                  <c:v>102</c:v>
                </c:pt>
                <c:pt idx="28">
                  <c:v>87</c:v>
                </c:pt>
                <c:pt idx="29">
                  <c:v>106</c:v>
                </c:pt>
                <c:pt idx="30">
                  <c:v>105</c:v>
                </c:pt>
                <c:pt idx="31">
                  <c:v>90</c:v>
                </c:pt>
                <c:pt idx="32">
                  <c:v>94</c:v>
                </c:pt>
                <c:pt idx="33">
                  <c:v>103</c:v>
                </c:pt>
                <c:pt idx="34">
                  <c:v>109</c:v>
                </c:pt>
                <c:pt idx="35">
                  <c:v>91</c:v>
                </c:pt>
                <c:pt idx="36">
                  <c:v>120</c:v>
                </c:pt>
                <c:pt idx="37">
                  <c:v>103</c:v>
                </c:pt>
                <c:pt idx="38">
                  <c:v>111</c:v>
                </c:pt>
                <c:pt idx="39">
                  <c:v>102</c:v>
                </c:pt>
                <c:pt idx="40">
                  <c:v>95</c:v>
                </c:pt>
                <c:pt idx="41">
                  <c:v>91</c:v>
                </c:pt>
                <c:pt idx="42">
                  <c:v>107</c:v>
                </c:pt>
                <c:pt idx="43">
                  <c:v>82</c:v>
                </c:pt>
                <c:pt idx="44">
                  <c:v>113</c:v>
                </c:pt>
                <c:pt idx="45">
                  <c:v>109</c:v>
                </c:pt>
                <c:pt idx="46">
                  <c:v>91</c:v>
                </c:pt>
                <c:pt idx="47">
                  <c:v>85</c:v>
                </c:pt>
                <c:pt idx="48">
                  <c:v>122</c:v>
                </c:pt>
                <c:pt idx="49">
                  <c:v>75</c:v>
                </c:pt>
                <c:pt idx="50">
                  <c:v>93</c:v>
                </c:pt>
                <c:pt idx="51">
                  <c:v>109</c:v>
                </c:pt>
                <c:pt idx="52">
                  <c:v>108</c:v>
                </c:pt>
                <c:pt idx="53">
                  <c:v>96</c:v>
                </c:pt>
                <c:pt idx="54">
                  <c:v>100</c:v>
                </c:pt>
                <c:pt idx="55">
                  <c:v>116</c:v>
                </c:pt>
                <c:pt idx="56">
                  <c:v>110</c:v>
                </c:pt>
                <c:pt idx="57">
                  <c:v>107</c:v>
                </c:pt>
                <c:pt idx="58">
                  <c:v>104</c:v>
                </c:pt>
                <c:pt idx="59">
                  <c:v>119</c:v>
                </c:pt>
                <c:pt idx="60">
                  <c:v>111</c:v>
                </c:pt>
                <c:pt idx="61">
                  <c:v>101</c:v>
                </c:pt>
                <c:pt idx="62">
                  <c:v>99</c:v>
                </c:pt>
                <c:pt idx="63">
                  <c:v>100</c:v>
                </c:pt>
                <c:pt idx="64">
                  <c:v>98</c:v>
                </c:pt>
                <c:pt idx="65">
                  <c:v>100</c:v>
                </c:pt>
                <c:pt idx="66">
                  <c:v>95</c:v>
                </c:pt>
                <c:pt idx="67">
                  <c:v>109</c:v>
                </c:pt>
                <c:pt idx="68">
                  <c:v>97</c:v>
                </c:pt>
                <c:pt idx="69">
                  <c:v>86</c:v>
                </c:pt>
                <c:pt idx="70">
                  <c:v>97</c:v>
                </c:pt>
                <c:pt idx="71">
                  <c:v>101</c:v>
                </c:pt>
                <c:pt idx="72">
                  <c:v>100</c:v>
                </c:pt>
                <c:pt idx="73">
                  <c:v>92</c:v>
                </c:pt>
                <c:pt idx="74">
                  <c:v>103</c:v>
                </c:pt>
                <c:pt idx="75">
                  <c:v>103</c:v>
                </c:pt>
                <c:pt idx="76">
                  <c:v>104</c:v>
                </c:pt>
                <c:pt idx="77">
                  <c:v>116</c:v>
                </c:pt>
                <c:pt idx="78">
                  <c:v>107</c:v>
                </c:pt>
                <c:pt idx="79">
                  <c:v>111</c:v>
                </c:pt>
                <c:pt idx="80">
                  <c:v>97</c:v>
                </c:pt>
                <c:pt idx="81">
                  <c:v>110</c:v>
                </c:pt>
                <c:pt idx="82">
                  <c:v>113</c:v>
                </c:pt>
                <c:pt idx="83">
                  <c:v>94</c:v>
                </c:pt>
                <c:pt idx="84">
                  <c:v>99</c:v>
                </c:pt>
                <c:pt idx="85">
                  <c:v>100</c:v>
                </c:pt>
                <c:pt idx="86">
                  <c:v>105</c:v>
                </c:pt>
                <c:pt idx="87">
                  <c:v>90</c:v>
                </c:pt>
                <c:pt idx="88">
                  <c:v>105</c:v>
                </c:pt>
                <c:pt idx="89">
                  <c:v>101</c:v>
                </c:pt>
                <c:pt idx="90">
                  <c:v>95</c:v>
                </c:pt>
                <c:pt idx="91">
                  <c:v>100</c:v>
                </c:pt>
                <c:pt idx="92">
                  <c:v>92</c:v>
                </c:pt>
                <c:pt idx="93">
                  <c:v>96</c:v>
                </c:pt>
                <c:pt idx="94">
                  <c:v>106</c:v>
                </c:pt>
                <c:pt idx="95">
                  <c:v>88</c:v>
                </c:pt>
                <c:pt idx="96">
                  <c:v>89</c:v>
                </c:pt>
                <c:pt idx="97">
                  <c:v>100</c:v>
                </c:pt>
                <c:pt idx="98">
                  <c:v>98</c:v>
                </c:pt>
                <c:pt idx="99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A-2740-AED6-84F3E6C45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366144"/>
        <c:axId val="2104629840"/>
      </c:scatterChart>
      <c:valAx>
        <c:axId val="210536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4629840"/>
        <c:crosses val="autoZero"/>
        <c:crossBetween val="midCat"/>
      </c:valAx>
      <c:valAx>
        <c:axId val="21046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53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20</xdr:row>
      <xdr:rowOff>27333</xdr:rowOff>
    </xdr:from>
    <xdr:to>
      <xdr:col>13</xdr:col>
      <xdr:colOff>187463</xdr:colOff>
      <xdr:row>33</xdr:row>
      <xdr:rowOff>128933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5D02761-EF58-1F01-9B1D-0368269A5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</xdr:colOff>
      <xdr:row>35</xdr:row>
      <xdr:rowOff>14633</xdr:rowOff>
    </xdr:from>
    <xdr:to>
      <xdr:col>13</xdr:col>
      <xdr:colOff>193813</xdr:colOff>
      <xdr:row>48</xdr:row>
      <xdr:rowOff>116233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0FBC929-637A-C7CD-FF2B-DAED3FA57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590274</xdr:colOff>
      <xdr:row>19</xdr:row>
      <xdr:rowOff>196299</xdr:rowOff>
    </xdr:from>
    <xdr:to>
      <xdr:col>17</xdr:col>
      <xdr:colOff>731079</xdr:colOff>
      <xdr:row>33</xdr:row>
      <xdr:rowOff>90833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BBB26B5-7244-03D8-AA5D-37006D9D2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590274</xdr:colOff>
      <xdr:row>35</xdr:row>
      <xdr:rowOff>40033</xdr:rowOff>
    </xdr:from>
    <xdr:to>
      <xdr:col>17</xdr:col>
      <xdr:colOff>731079</xdr:colOff>
      <xdr:row>48</xdr:row>
      <xdr:rowOff>141633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19C0A47-63E6-B752-7639-AB886CCB1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0F14-02A6-A341-90D2-3CEF4D71CA91}">
  <dimension ref="A1:V123"/>
  <sheetViews>
    <sheetView tabSelected="1" zoomScale="92" zoomScaleNormal="75" workbookViewId="0">
      <selection activeCell="P17" sqref="P17"/>
    </sheetView>
  </sheetViews>
  <sheetFormatPr baseColWidth="10" defaultRowHeight="16" x14ac:dyDescent="0.2"/>
  <cols>
    <col min="2" max="2" width="10.83203125" style="4"/>
    <col min="3" max="3" width="10.83203125" style="3"/>
    <col min="4" max="4" width="10.83203125" style="2"/>
    <col min="5" max="5" width="10.83203125" style="3"/>
    <col min="6" max="6" width="10.83203125" style="2"/>
    <col min="7" max="7" width="10.83203125" style="3"/>
    <col min="8" max="8" width="10.83203125" style="2"/>
    <col min="9" max="9" width="10.83203125" style="3"/>
    <col min="10" max="10" width="10.83203125" customWidth="1"/>
    <col min="11" max="11" width="21.33203125" customWidth="1"/>
    <col min="12" max="15" width="18.33203125" customWidth="1"/>
    <col min="21" max="21" width="18.1640625" customWidth="1"/>
    <col min="22" max="22" width="60.1640625" customWidth="1"/>
  </cols>
  <sheetData>
    <row r="1" spans="1:22" x14ac:dyDescent="0.2">
      <c r="A1" s="1"/>
      <c r="B1" s="9" t="s">
        <v>0</v>
      </c>
      <c r="C1" s="10"/>
      <c r="D1" s="9" t="s">
        <v>2</v>
      </c>
      <c r="E1" s="10"/>
      <c r="F1" s="9" t="s">
        <v>1</v>
      </c>
      <c r="G1" s="10"/>
      <c r="H1" s="9" t="s">
        <v>3</v>
      </c>
      <c r="I1" s="10"/>
      <c r="T1" s="36" t="s">
        <v>15</v>
      </c>
      <c r="U1" s="37"/>
      <c r="V1" s="37"/>
    </row>
    <row r="2" spans="1:22" ht="17" thickBot="1" x14ac:dyDescent="0.25">
      <c r="A2" s="8"/>
      <c r="B2" s="11"/>
      <c r="C2" s="12"/>
      <c r="D2" s="11"/>
      <c r="E2" s="12"/>
      <c r="F2" s="11"/>
      <c r="G2" s="12"/>
      <c r="H2" s="11"/>
      <c r="I2" s="12"/>
      <c r="T2" s="38"/>
      <c r="U2" s="39"/>
      <c r="V2" s="13"/>
    </row>
    <row r="3" spans="1:22" x14ac:dyDescent="0.2">
      <c r="B3" s="5">
        <v>0</v>
      </c>
      <c r="C3" s="6">
        <v>148</v>
      </c>
      <c r="D3" s="7">
        <v>0</v>
      </c>
      <c r="E3" s="6">
        <v>100</v>
      </c>
      <c r="F3" s="7">
        <v>0</v>
      </c>
      <c r="G3" s="6">
        <v>107</v>
      </c>
      <c r="H3" s="7">
        <v>0</v>
      </c>
      <c r="I3" s="6">
        <v>100</v>
      </c>
      <c r="K3" s="15"/>
      <c r="L3" s="18" t="s">
        <v>0</v>
      </c>
      <c r="M3" s="18" t="s">
        <v>2</v>
      </c>
      <c r="N3" s="18" t="s">
        <v>1</v>
      </c>
      <c r="O3" s="18" t="s">
        <v>3</v>
      </c>
      <c r="T3" s="41" t="s">
        <v>16</v>
      </c>
      <c r="U3" s="41"/>
      <c r="V3" s="41"/>
    </row>
    <row r="4" spans="1:22" x14ac:dyDescent="0.2">
      <c r="B4" s="4">
        <v>1</v>
      </c>
      <c r="C4" s="3">
        <v>139</v>
      </c>
      <c r="D4" s="2">
        <v>1</v>
      </c>
      <c r="E4" s="3">
        <v>93</v>
      </c>
      <c r="F4" s="2">
        <v>1</v>
      </c>
      <c r="G4" s="3">
        <v>146</v>
      </c>
      <c r="H4" s="2">
        <v>1</v>
      </c>
      <c r="I4" s="3">
        <v>107</v>
      </c>
      <c r="K4" s="19" t="s">
        <v>7</v>
      </c>
      <c r="L4" s="33">
        <f>MAX(C3:C72)</f>
        <v>179</v>
      </c>
      <c r="M4" s="31">
        <f>MAX(E3:E105)</f>
        <v>121</v>
      </c>
      <c r="N4" s="22">
        <f>MAX(G3:G123)</f>
        <v>150</v>
      </c>
      <c r="O4" s="23">
        <f>MAX(I3:I102)</f>
        <v>122</v>
      </c>
      <c r="T4" s="40" t="s">
        <v>12</v>
      </c>
      <c r="U4" s="40" t="s">
        <v>13</v>
      </c>
      <c r="V4" s="40" t="s">
        <v>14</v>
      </c>
    </row>
    <row r="5" spans="1:22" x14ac:dyDescent="0.2">
      <c r="B5" s="4">
        <v>2</v>
      </c>
      <c r="C5" s="3">
        <v>167</v>
      </c>
      <c r="D5" s="2">
        <v>2</v>
      </c>
      <c r="E5" s="3">
        <v>86</v>
      </c>
      <c r="F5" s="2">
        <v>2</v>
      </c>
      <c r="G5" s="3">
        <v>75</v>
      </c>
      <c r="H5" s="2">
        <v>2</v>
      </c>
      <c r="I5" s="3">
        <v>85</v>
      </c>
      <c r="K5" s="19" t="s">
        <v>8</v>
      </c>
      <c r="L5" s="33">
        <f>MIN(C3:C72)</f>
        <v>114</v>
      </c>
      <c r="M5" s="23">
        <f>MIN(E3:E105)</f>
        <v>72</v>
      </c>
      <c r="N5" s="31">
        <f>MIN(G3:G123)</f>
        <v>42</v>
      </c>
      <c r="O5" s="22">
        <f>MIN(I3:I102)</f>
        <v>75</v>
      </c>
      <c r="T5" s="40">
        <v>1</v>
      </c>
      <c r="U5" s="17">
        <v>2</v>
      </c>
      <c r="V5" s="17" t="str">
        <f>CONCATENATE("max = ", M4, ", mean = ", M6, ", median = ", M7)</f>
        <v>max = 121, mean = 97,0873786407767, median = 97</v>
      </c>
    </row>
    <row r="6" spans="1:22" x14ac:dyDescent="0.2">
      <c r="B6" s="4">
        <v>3</v>
      </c>
      <c r="C6" s="3">
        <v>144</v>
      </c>
      <c r="D6" s="2">
        <v>3</v>
      </c>
      <c r="E6" s="3">
        <v>89</v>
      </c>
      <c r="F6" s="2">
        <v>3</v>
      </c>
      <c r="G6" s="3">
        <v>65</v>
      </c>
      <c r="H6" s="2">
        <v>3</v>
      </c>
      <c r="I6" s="3">
        <v>93</v>
      </c>
      <c r="K6" s="19" t="s">
        <v>6</v>
      </c>
      <c r="L6" s="33">
        <f>AVERAGE(C3:C72)</f>
        <v>142.85714285714286</v>
      </c>
      <c r="M6" s="23">
        <f>AVERAGE(E3:E105)</f>
        <v>97.087378640776706</v>
      </c>
      <c r="N6" s="31">
        <f>AVERAGE(G3:G123)</f>
        <v>82.644628099173559</v>
      </c>
      <c r="O6" s="22">
        <f>AVERAGE(I3:I102)</f>
        <v>100</v>
      </c>
      <c r="T6" s="40">
        <v>2</v>
      </c>
      <c r="U6" s="17">
        <v>4</v>
      </c>
      <c r="V6" s="17" t="str">
        <f>CONCATENATE("max = ", O4, ", mean = ", O6, ", median = ", O7)</f>
        <v>max = 122, mean = 100, median = 100</v>
      </c>
    </row>
    <row r="7" spans="1:22" x14ac:dyDescent="0.2">
      <c r="B7" s="4">
        <v>4</v>
      </c>
      <c r="C7" s="3">
        <v>151</v>
      </c>
      <c r="D7" s="2">
        <v>4</v>
      </c>
      <c r="E7" s="3">
        <v>92</v>
      </c>
      <c r="F7" s="2">
        <v>4</v>
      </c>
      <c r="G7" s="3">
        <v>65</v>
      </c>
      <c r="H7" s="2">
        <v>4</v>
      </c>
      <c r="I7" s="3">
        <v>96</v>
      </c>
      <c r="K7" s="19" t="s">
        <v>5</v>
      </c>
      <c r="L7" s="17">
        <f>MEDIAN(C3:C72)</f>
        <v>141</v>
      </c>
      <c r="M7" s="17">
        <f>MEDIAN(E3:E105)</f>
        <v>97</v>
      </c>
      <c r="N7" s="17">
        <f>MEDIAN(G3:G123)</f>
        <v>80</v>
      </c>
      <c r="O7" s="17">
        <f>MEDIAN(I3:I102)</f>
        <v>100</v>
      </c>
      <c r="T7" s="40">
        <v>3</v>
      </c>
      <c r="U7" s="17">
        <v>3</v>
      </c>
      <c r="V7" s="17" t="str">
        <f>CONCATENATE("max = ", N4, ", mean = ", N6, ", median = ", N7)</f>
        <v>max = 150, mean = 82,6446280991736, median = 80</v>
      </c>
    </row>
    <row r="8" spans="1:22" x14ac:dyDescent="0.2">
      <c r="B8" s="4">
        <v>5</v>
      </c>
      <c r="C8" s="3">
        <v>134</v>
      </c>
      <c r="D8" s="2">
        <v>5</v>
      </c>
      <c r="E8" s="3">
        <v>89</v>
      </c>
      <c r="F8" s="2">
        <v>5</v>
      </c>
      <c r="G8" s="3">
        <v>78</v>
      </c>
      <c r="H8" s="2">
        <v>5</v>
      </c>
      <c r="I8" s="3">
        <v>93</v>
      </c>
      <c r="K8" s="20" t="s">
        <v>4</v>
      </c>
      <c r="L8" s="24">
        <f>L4/L6</f>
        <v>1.2529999999999999</v>
      </c>
      <c r="M8" s="25">
        <f>M4/M6</f>
        <v>1.2463</v>
      </c>
      <c r="N8" s="34">
        <f>N4/N6</f>
        <v>1.8149999999999999</v>
      </c>
      <c r="O8" s="32">
        <f>O4/O6</f>
        <v>1.22</v>
      </c>
      <c r="T8" s="40">
        <v>4</v>
      </c>
      <c r="U8" s="17">
        <v>1</v>
      </c>
      <c r="V8" s="17" t="str">
        <f>CONCATENATE("max = ", L4, ", mean = ", L6, ", median = ", L7)</f>
        <v>max = 179, mean = 142,857142857143, median = 141</v>
      </c>
    </row>
    <row r="9" spans="1:22" x14ac:dyDescent="0.2">
      <c r="B9" s="4">
        <v>6</v>
      </c>
      <c r="C9" s="3">
        <v>126</v>
      </c>
      <c r="D9" s="2">
        <v>6</v>
      </c>
      <c r="E9" s="3">
        <v>82</v>
      </c>
      <c r="F9" s="2">
        <v>6</v>
      </c>
      <c r="G9" s="3">
        <v>77</v>
      </c>
      <c r="H9" s="2">
        <v>6</v>
      </c>
      <c r="I9" s="3">
        <v>102</v>
      </c>
      <c r="K9" s="21" t="s">
        <v>9</v>
      </c>
      <c r="L9" s="22">
        <f>STDEV(C3:C72)</f>
        <v>14.752337780138276</v>
      </c>
      <c r="M9" s="23">
        <f>STDEV(E3:E105)</f>
        <v>9.4662525414630121</v>
      </c>
      <c r="N9" s="33">
        <f>STDEV(G3:G123)</f>
        <v>23.261864178712564</v>
      </c>
      <c r="O9" s="31">
        <f>STDEV(I3:I102)</f>
        <v>9.0028053989023356</v>
      </c>
      <c r="T9" s="38"/>
      <c r="U9" s="39"/>
      <c r="V9" s="13"/>
    </row>
    <row r="10" spans="1:22" x14ac:dyDescent="0.2">
      <c r="B10" s="4">
        <v>7</v>
      </c>
      <c r="C10" s="3">
        <v>161</v>
      </c>
      <c r="D10" s="2">
        <v>7</v>
      </c>
      <c r="E10" s="3">
        <v>106</v>
      </c>
      <c r="F10" s="2">
        <v>7</v>
      </c>
      <c r="G10" s="3">
        <v>68</v>
      </c>
      <c r="H10" s="2">
        <v>7</v>
      </c>
      <c r="I10" s="3">
        <v>108</v>
      </c>
      <c r="T10" s="41" t="s">
        <v>17</v>
      </c>
      <c r="U10" s="41"/>
      <c r="V10" s="41"/>
    </row>
    <row r="11" spans="1:22" x14ac:dyDescent="0.2">
      <c r="B11" s="4">
        <v>8</v>
      </c>
      <c r="C11" s="3">
        <v>136</v>
      </c>
      <c r="D11" s="2">
        <v>8</v>
      </c>
      <c r="E11" s="3">
        <v>101</v>
      </c>
      <c r="F11" s="2">
        <v>8</v>
      </c>
      <c r="G11" s="3">
        <v>80</v>
      </c>
      <c r="H11" s="2">
        <v>8</v>
      </c>
      <c r="I11" s="3">
        <v>101</v>
      </c>
      <c r="T11" s="40" t="s">
        <v>12</v>
      </c>
      <c r="U11" s="40" t="s">
        <v>13</v>
      </c>
      <c r="V11" s="40" t="s">
        <v>14</v>
      </c>
    </row>
    <row r="12" spans="1:22" x14ac:dyDescent="0.2">
      <c r="B12" s="4">
        <v>9</v>
      </c>
      <c r="C12" s="3">
        <v>138</v>
      </c>
      <c r="D12" s="2">
        <v>9</v>
      </c>
      <c r="E12" s="3">
        <v>106</v>
      </c>
      <c r="F12" s="2">
        <v>9</v>
      </c>
      <c r="G12" s="3">
        <v>81</v>
      </c>
      <c r="H12" s="2">
        <v>9</v>
      </c>
      <c r="I12" s="3">
        <v>99</v>
      </c>
      <c r="T12" s="40">
        <v>1</v>
      </c>
      <c r="U12" s="17">
        <v>1</v>
      </c>
      <c r="V12" s="17" t="s">
        <v>20</v>
      </c>
    </row>
    <row r="13" spans="1:22" x14ac:dyDescent="0.2">
      <c r="B13" s="4">
        <v>10</v>
      </c>
      <c r="C13" s="3">
        <v>129</v>
      </c>
      <c r="D13" s="2">
        <v>10</v>
      </c>
      <c r="E13" s="3">
        <v>109</v>
      </c>
      <c r="F13" s="2">
        <v>10</v>
      </c>
      <c r="G13" s="3">
        <v>101</v>
      </c>
      <c r="H13" s="2">
        <v>10</v>
      </c>
      <c r="I13" s="3">
        <v>98</v>
      </c>
      <c r="K13" s="30">
        <v>1</v>
      </c>
      <c r="L13" s="29"/>
      <c r="M13" t="s">
        <v>10</v>
      </c>
      <c r="T13" s="40">
        <v>2</v>
      </c>
      <c r="U13" s="17">
        <v>4</v>
      </c>
      <c r="V13" s="17" t="s">
        <v>21</v>
      </c>
    </row>
    <row r="14" spans="1:22" x14ac:dyDescent="0.2">
      <c r="B14" s="4">
        <v>11</v>
      </c>
      <c r="C14" s="3">
        <v>138</v>
      </c>
      <c r="D14" s="2">
        <v>11</v>
      </c>
      <c r="E14" s="3">
        <v>106</v>
      </c>
      <c r="F14" s="2">
        <v>11</v>
      </c>
      <c r="G14" s="3">
        <v>102</v>
      </c>
      <c r="H14" s="2">
        <v>11</v>
      </c>
      <c r="I14" s="3">
        <v>97</v>
      </c>
      <c r="K14" s="30">
        <v>2</v>
      </c>
      <c r="L14" s="26"/>
      <c r="T14" s="40">
        <v>3</v>
      </c>
      <c r="U14" s="17">
        <v>2</v>
      </c>
      <c r="V14" s="17" t="s">
        <v>22</v>
      </c>
    </row>
    <row r="15" spans="1:22" x14ac:dyDescent="0.2">
      <c r="B15" s="4">
        <v>12</v>
      </c>
      <c r="C15" s="3">
        <v>165</v>
      </c>
      <c r="D15" s="2">
        <v>12</v>
      </c>
      <c r="E15" s="3">
        <v>109</v>
      </c>
      <c r="F15" s="2">
        <v>12</v>
      </c>
      <c r="G15" s="3">
        <v>92</v>
      </c>
      <c r="H15" s="2">
        <v>12</v>
      </c>
      <c r="I15" s="3">
        <v>102</v>
      </c>
      <c r="K15" s="30">
        <v>3</v>
      </c>
      <c r="L15" s="28"/>
      <c r="T15" s="40">
        <v>4</v>
      </c>
      <c r="U15" s="17">
        <v>3</v>
      </c>
      <c r="V15" s="17" t="s">
        <v>23</v>
      </c>
    </row>
    <row r="16" spans="1:22" x14ac:dyDescent="0.2">
      <c r="B16" s="4">
        <v>13</v>
      </c>
      <c r="C16" s="3">
        <v>139</v>
      </c>
      <c r="D16" s="2">
        <v>13</v>
      </c>
      <c r="E16" s="3">
        <v>90</v>
      </c>
      <c r="F16" s="2">
        <v>13</v>
      </c>
      <c r="G16" s="3">
        <v>66</v>
      </c>
      <c r="H16" s="2">
        <v>13</v>
      </c>
      <c r="I16" s="3">
        <v>102</v>
      </c>
      <c r="K16" s="30">
        <v>4</v>
      </c>
      <c r="L16" s="27"/>
      <c r="M16" t="s">
        <v>11</v>
      </c>
      <c r="T16" s="38"/>
      <c r="U16" s="39"/>
      <c r="V16" s="13"/>
    </row>
    <row r="17" spans="2:22" x14ac:dyDescent="0.2">
      <c r="B17" s="4">
        <v>14</v>
      </c>
      <c r="C17" s="3">
        <v>147</v>
      </c>
      <c r="D17" s="2">
        <v>14</v>
      </c>
      <c r="E17" s="3">
        <v>89</v>
      </c>
      <c r="F17" s="2">
        <v>14</v>
      </c>
      <c r="G17" s="3">
        <v>64</v>
      </c>
      <c r="H17" s="2">
        <v>14</v>
      </c>
      <c r="I17" s="3">
        <v>90</v>
      </c>
      <c r="T17" s="41" t="s">
        <v>18</v>
      </c>
      <c r="U17" s="41"/>
      <c r="V17" s="41"/>
    </row>
    <row r="18" spans="2:22" x14ac:dyDescent="0.2">
      <c r="B18" s="4">
        <v>15</v>
      </c>
      <c r="C18" s="3">
        <v>127</v>
      </c>
      <c r="D18" s="2">
        <v>15</v>
      </c>
      <c r="E18" s="3">
        <v>111</v>
      </c>
      <c r="F18" s="2">
        <v>15</v>
      </c>
      <c r="G18" s="3">
        <v>54</v>
      </c>
      <c r="H18" s="2">
        <v>15</v>
      </c>
      <c r="I18" s="3">
        <v>99</v>
      </c>
      <c r="T18" s="40" t="s">
        <v>12</v>
      </c>
      <c r="U18" s="40" t="s">
        <v>13</v>
      </c>
      <c r="V18" s="40"/>
    </row>
    <row r="19" spans="2:22" x14ac:dyDescent="0.2">
      <c r="B19" s="4">
        <v>16</v>
      </c>
      <c r="C19" s="3">
        <v>141</v>
      </c>
      <c r="D19" s="2">
        <v>16</v>
      </c>
      <c r="E19" s="3">
        <v>78</v>
      </c>
      <c r="F19" s="2">
        <v>16</v>
      </c>
      <c r="G19" s="3">
        <v>58</v>
      </c>
      <c r="H19" s="2">
        <v>16</v>
      </c>
      <c r="I19" s="3">
        <v>100</v>
      </c>
      <c r="T19" s="40">
        <v>1</v>
      </c>
      <c r="U19" s="17">
        <v>4</v>
      </c>
      <c r="V19" s="14"/>
    </row>
    <row r="20" spans="2:22" x14ac:dyDescent="0.2">
      <c r="B20" s="4">
        <v>17</v>
      </c>
      <c r="C20" s="3">
        <v>155</v>
      </c>
      <c r="D20" s="2">
        <v>17</v>
      </c>
      <c r="E20" s="3">
        <v>105</v>
      </c>
      <c r="F20" s="2">
        <v>17</v>
      </c>
      <c r="G20" s="3">
        <v>60</v>
      </c>
      <c r="H20" s="2">
        <v>17</v>
      </c>
      <c r="I20" s="3">
        <v>99</v>
      </c>
      <c r="T20" s="40">
        <v>2</v>
      </c>
      <c r="U20" s="17">
        <v>2</v>
      </c>
      <c r="V20" s="14"/>
    </row>
    <row r="21" spans="2:22" x14ac:dyDescent="0.2">
      <c r="B21" s="4">
        <v>18</v>
      </c>
      <c r="C21" s="3">
        <v>123</v>
      </c>
      <c r="D21" s="2">
        <v>18</v>
      </c>
      <c r="E21" s="3">
        <v>93</v>
      </c>
      <c r="F21" s="2">
        <v>18</v>
      </c>
      <c r="G21" s="3">
        <v>65</v>
      </c>
      <c r="H21" s="2">
        <v>18</v>
      </c>
      <c r="I21" s="3">
        <v>101</v>
      </c>
      <c r="T21" s="40">
        <v>3</v>
      </c>
      <c r="U21" s="17">
        <v>1</v>
      </c>
      <c r="V21" s="14"/>
    </row>
    <row r="22" spans="2:22" x14ac:dyDescent="0.2">
      <c r="B22" s="4">
        <v>19</v>
      </c>
      <c r="C22" s="3">
        <v>139</v>
      </c>
      <c r="D22" s="2">
        <v>19</v>
      </c>
      <c r="E22" s="3">
        <v>89</v>
      </c>
      <c r="F22" s="2">
        <v>19</v>
      </c>
      <c r="G22" s="3">
        <v>60</v>
      </c>
      <c r="H22" s="2">
        <v>19</v>
      </c>
      <c r="I22" s="3">
        <v>100</v>
      </c>
      <c r="T22" s="40">
        <v>4</v>
      </c>
      <c r="U22" s="17">
        <v>3</v>
      </c>
      <c r="V22" s="14"/>
    </row>
    <row r="23" spans="2:22" x14ac:dyDescent="0.2">
      <c r="B23" s="4">
        <v>20</v>
      </c>
      <c r="C23" s="3">
        <v>135</v>
      </c>
      <c r="D23" s="2">
        <v>20</v>
      </c>
      <c r="E23" s="3">
        <v>106</v>
      </c>
      <c r="F23" s="2">
        <v>20</v>
      </c>
      <c r="G23" s="3">
        <v>106</v>
      </c>
      <c r="H23" s="2">
        <v>20</v>
      </c>
      <c r="I23" s="3">
        <v>76</v>
      </c>
      <c r="T23" s="38"/>
      <c r="U23" s="39"/>
      <c r="V23" s="13"/>
    </row>
    <row r="24" spans="2:22" x14ac:dyDescent="0.2">
      <c r="B24" s="4">
        <v>21</v>
      </c>
      <c r="C24" s="3">
        <v>150</v>
      </c>
      <c r="D24" s="2">
        <v>21</v>
      </c>
      <c r="E24" s="3">
        <v>93</v>
      </c>
      <c r="F24" s="2">
        <v>21</v>
      </c>
      <c r="G24" s="3">
        <v>80</v>
      </c>
      <c r="H24" s="2">
        <v>21</v>
      </c>
      <c r="I24" s="3">
        <v>106</v>
      </c>
      <c r="T24" s="41" t="s">
        <v>19</v>
      </c>
      <c r="U24" s="41"/>
      <c r="V24" s="41"/>
    </row>
    <row r="25" spans="2:22" x14ac:dyDescent="0.2">
      <c r="B25" s="4">
        <v>22</v>
      </c>
      <c r="C25" s="3">
        <v>162</v>
      </c>
      <c r="D25" s="2">
        <v>22</v>
      </c>
      <c r="E25" s="3">
        <v>102</v>
      </c>
      <c r="F25" s="2">
        <v>22</v>
      </c>
      <c r="G25" s="3">
        <v>94</v>
      </c>
      <c r="H25" s="2">
        <v>22</v>
      </c>
      <c r="I25" s="3">
        <v>108</v>
      </c>
      <c r="K25" s="35"/>
      <c r="L25" s="35"/>
      <c r="M25" s="35"/>
      <c r="T25" s="40" t="s">
        <v>12</v>
      </c>
      <c r="U25" s="40" t="s">
        <v>13</v>
      </c>
      <c r="V25" s="40" t="s">
        <v>14</v>
      </c>
    </row>
    <row r="26" spans="2:22" x14ac:dyDescent="0.2">
      <c r="B26" s="4">
        <v>23</v>
      </c>
      <c r="C26" s="3">
        <v>135</v>
      </c>
      <c r="D26" s="2">
        <v>23</v>
      </c>
      <c r="E26" s="3">
        <v>96</v>
      </c>
      <c r="F26" s="2">
        <v>23</v>
      </c>
      <c r="G26" s="3">
        <v>90</v>
      </c>
      <c r="H26" s="2">
        <v>23</v>
      </c>
      <c r="I26" s="3">
        <v>106</v>
      </c>
      <c r="K26" s="35"/>
      <c r="L26" s="35"/>
      <c r="M26" s="35"/>
      <c r="T26" s="40">
        <v>1</v>
      </c>
      <c r="U26" s="17">
        <v>4</v>
      </c>
      <c r="V26" s="17" t="str">
        <f>CONCATENATE("std = ", O9, ", коэф. неравном. = ", O8, ", mean = median")</f>
        <v>std = 9,00280539890234, коэф. неравном. = 1,22, mean = median</v>
      </c>
    </row>
    <row r="27" spans="2:22" x14ac:dyDescent="0.2">
      <c r="B27" s="4">
        <v>24</v>
      </c>
      <c r="C27" s="3">
        <v>130</v>
      </c>
      <c r="D27" s="2">
        <v>24</v>
      </c>
      <c r="E27" s="3">
        <v>72</v>
      </c>
      <c r="F27" s="2">
        <v>24</v>
      </c>
      <c r="G27" s="3">
        <v>51</v>
      </c>
      <c r="H27" s="2">
        <v>24</v>
      </c>
      <c r="I27" s="3">
        <v>85</v>
      </c>
      <c r="K27" s="35"/>
      <c r="L27" s="35"/>
      <c r="M27" s="35"/>
      <c r="T27" s="40">
        <v>2</v>
      </c>
      <c r="U27" s="17">
        <v>2</v>
      </c>
      <c r="V27" s="17" t="str">
        <f>CONCATENATE("std = ", M9, ", коэф. неравном. = ", M8, ", mean ≈ median")</f>
        <v>std = 9,46625254146301, коэф. неравном. = 1,2463, mean ≈ median</v>
      </c>
    </row>
    <row r="28" spans="2:22" x14ac:dyDescent="0.2">
      <c r="B28" s="4">
        <v>25</v>
      </c>
      <c r="C28" s="3">
        <v>130</v>
      </c>
      <c r="D28" s="2">
        <v>25</v>
      </c>
      <c r="E28" s="3">
        <v>77</v>
      </c>
      <c r="F28" s="2">
        <v>25</v>
      </c>
      <c r="G28" s="3">
        <v>56</v>
      </c>
      <c r="H28" s="2">
        <v>25</v>
      </c>
      <c r="I28" s="3">
        <v>89</v>
      </c>
      <c r="K28" s="35"/>
      <c r="L28" s="35"/>
      <c r="M28" s="35"/>
      <c r="T28" s="40">
        <v>3</v>
      </c>
      <c r="U28" s="17">
        <v>1</v>
      </c>
      <c r="V28" s="42" t="str">
        <f>CONCATENATE("std = ", L9, ", коэф. неравном. = ", L8, ", разрыв мал")</f>
        <v>std = 14,7523377801383, коэф. неравном. = 1,253, разрыв мал</v>
      </c>
    </row>
    <row r="29" spans="2:22" x14ac:dyDescent="0.2">
      <c r="B29" s="4">
        <v>26</v>
      </c>
      <c r="C29" s="3">
        <v>145</v>
      </c>
      <c r="D29" s="2">
        <v>26</v>
      </c>
      <c r="E29" s="3">
        <v>90</v>
      </c>
      <c r="F29" s="2">
        <v>26</v>
      </c>
      <c r="G29" s="3">
        <v>62</v>
      </c>
      <c r="H29" s="2">
        <v>26</v>
      </c>
      <c r="I29" s="3">
        <v>85</v>
      </c>
      <c r="K29" s="35"/>
      <c r="L29" s="35"/>
      <c r="M29" s="35"/>
      <c r="N29" s="16"/>
      <c r="O29" s="16"/>
      <c r="T29" s="40">
        <v>4</v>
      </c>
      <c r="U29" s="17">
        <v>3</v>
      </c>
      <c r="V29" s="17" t="str">
        <f>CONCATENATE("std = ", N9, ", коэф. неравном. = ", N8, ", разрыв есть")</f>
        <v>std = 23,2618641787126, коэф. неравном. = 1,815, разрыв есть</v>
      </c>
    </row>
    <row r="30" spans="2:22" x14ac:dyDescent="0.2">
      <c r="B30" s="4">
        <v>27</v>
      </c>
      <c r="C30" s="3">
        <v>171</v>
      </c>
      <c r="D30" s="2">
        <v>27</v>
      </c>
      <c r="E30" s="3">
        <v>98</v>
      </c>
      <c r="F30" s="2">
        <v>27</v>
      </c>
      <c r="G30" s="3">
        <v>70</v>
      </c>
      <c r="H30" s="2">
        <v>27</v>
      </c>
      <c r="I30" s="3">
        <v>102</v>
      </c>
      <c r="K30" s="16"/>
      <c r="L30" s="16"/>
      <c r="M30" s="16"/>
      <c r="N30" s="16"/>
      <c r="O30" s="16"/>
    </row>
    <row r="31" spans="2:22" x14ac:dyDescent="0.2">
      <c r="B31" s="4">
        <v>28</v>
      </c>
      <c r="C31" s="3">
        <v>145</v>
      </c>
      <c r="D31" s="2">
        <v>28</v>
      </c>
      <c r="E31" s="3">
        <v>91</v>
      </c>
      <c r="F31" s="2">
        <v>28</v>
      </c>
      <c r="G31" s="3">
        <v>71</v>
      </c>
      <c r="H31" s="2">
        <v>28</v>
      </c>
      <c r="I31" s="3">
        <v>87</v>
      </c>
      <c r="K31" s="16"/>
      <c r="L31" s="16"/>
      <c r="M31" s="16"/>
      <c r="N31" s="16"/>
      <c r="O31" s="16"/>
      <c r="T31" s="44" t="s">
        <v>24</v>
      </c>
      <c r="U31" s="43" t="s">
        <v>3</v>
      </c>
    </row>
    <row r="32" spans="2:22" x14ac:dyDescent="0.2">
      <c r="B32" s="4">
        <v>29</v>
      </c>
      <c r="C32" s="3">
        <v>148</v>
      </c>
      <c r="D32" s="2">
        <v>29</v>
      </c>
      <c r="E32" s="3">
        <v>120</v>
      </c>
      <c r="F32" s="2">
        <v>29</v>
      </c>
      <c r="G32" s="3">
        <v>57</v>
      </c>
      <c r="H32" s="2">
        <v>29</v>
      </c>
      <c r="I32" s="3">
        <v>106</v>
      </c>
      <c r="K32" s="16"/>
      <c r="L32" s="16"/>
      <c r="M32" s="16"/>
      <c r="N32" s="16"/>
      <c r="O32" s="16"/>
      <c r="T32" s="44" t="s">
        <v>25</v>
      </c>
      <c r="U32" s="43" t="s">
        <v>1</v>
      </c>
    </row>
    <row r="33" spans="2:15" x14ac:dyDescent="0.2">
      <c r="B33" s="4">
        <v>30</v>
      </c>
      <c r="C33" s="3">
        <v>132</v>
      </c>
      <c r="D33" s="2">
        <v>30</v>
      </c>
      <c r="E33" s="3">
        <v>91</v>
      </c>
      <c r="F33" s="2">
        <v>30</v>
      </c>
      <c r="G33" s="3">
        <v>42</v>
      </c>
      <c r="H33" s="2">
        <v>30</v>
      </c>
      <c r="I33" s="3">
        <v>105</v>
      </c>
      <c r="K33" s="16"/>
      <c r="L33" s="16"/>
      <c r="M33" s="16"/>
      <c r="N33" s="16"/>
      <c r="O33" s="16"/>
    </row>
    <row r="34" spans="2:15" x14ac:dyDescent="0.2">
      <c r="B34" s="4">
        <v>31</v>
      </c>
      <c r="C34" s="3">
        <v>134</v>
      </c>
      <c r="D34" s="2">
        <v>31</v>
      </c>
      <c r="E34" s="3">
        <v>102</v>
      </c>
      <c r="F34" s="2">
        <v>31</v>
      </c>
      <c r="G34" s="3">
        <v>87</v>
      </c>
      <c r="H34" s="2">
        <v>31</v>
      </c>
      <c r="I34" s="3">
        <v>90</v>
      </c>
      <c r="K34" s="16"/>
      <c r="L34" s="16"/>
      <c r="M34" s="16"/>
      <c r="N34" s="16"/>
      <c r="O34" s="16"/>
    </row>
    <row r="35" spans="2:15" x14ac:dyDescent="0.2">
      <c r="B35" s="4">
        <v>32</v>
      </c>
      <c r="C35" s="3">
        <v>172</v>
      </c>
      <c r="D35" s="2">
        <v>32</v>
      </c>
      <c r="E35" s="3">
        <v>94</v>
      </c>
      <c r="F35" s="2">
        <v>32</v>
      </c>
      <c r="G35" s="3">
        <v>100</v>
      </c>
      <c r="H35" s="2">
        <v>32</v>
      </c>
      <c r="I35" s="3">
        <v>94</v>
      </c>
      <c r="K35" s="16"/>
      <c r="L35" s="16"/>
      <c r="M35" s="16"/>
      <c r="N35" s="16"/>
      <c r="O35" s="16"/>
    </row>
    <row r="36" spans="2:15" x14ac:dyDescent="0.2">
      <c r="B36" s="4">
        <v>33</v>
      </c>
      <c r="C36" s="3">
        <v>123</v>
      </c>
      <c r="D36" s="2">
        <v>33</v>
      </c>
      <c r="E36" s="3">
        <v>103</v>
      </c>
      <c r="F36" s="2">
        <v>33</v>
      </c>
      <c r="G36" s="3">
        <v>99</v>
      </c>
      <c r="H36" s="2">
        <v>33</v>
      </c>
      <c r="I36" s="3">
        <v>103</v>
      </c>
      <c r="K36" s="16"/>
      <c r="L36" s="16"/>
      <c r="M36" s="16"/>
      <c r="N36" s="16"/>
      <c r="O36" s="16"/>
    </row>
    <row r="37" spans="2:15" x14ac:dyDescent="0.2">
      <c r="B37" s="4">
        <v>34</v>
      </c>
      <c r="C37" s="3">
        <v>147</v>
      </c>
      <c r="D37" s="2">
        <v>34</v>
      </c>
      <c r="E37" s="3">
        <v>91</v>
      </c>
      <c r="F37" s="2">
        <v>34</v>
      </c>
      <c r="G37" s="3">
        <v>83</v>
      </c>
      <c r="H37" s="2">
        <v>34</v>
      </c>
      <c r="I37" s="3">
        <v>109</v>
      </c>
    </row>
    <row r="38" spans="2:15" x14ac:dyDescent="0.2">
      <c r="B38" s="4">
        <v>35</v>
      </c>
      <c r="C38" s="3">
        <v>125</v>
      </c>
      <c r="D38" s="2">
        <v>35</v>
      </c>
      <c r="E38" s="3">
        <v>102</v>
      </c>
      <c r="F38" s="2">
        <v>35</v>
      </c>
      <c r="G38" s="3">
        <v>57</v>
      </c>
      <c r="H38" s="2">
        <v>35</v>
      </c>
      <c r="I38" s="3">
        <v>91</v>
      </c>
    </row>
    <row r="39" spans="2:15" x14ac:dyDescent="0.2">
      <c r="B39" s="4">
        <v>36</v>
      </c>
      <c r="C39" s="3">
        <v>160</v>
      </c>
      <c r="D39" s="2">
        <v>36</v>
      </c>
      <c r="E39" s="3">
        <v>101</v>
      </c>
      <c r="F39" s="2">
        <v>36</v>
      </c>
      <c r="G39" s="3">
        <v>72</v>
      </c>
      <c r="H39" s="2">
        <v>36</v>
      </c>
      <c r="I39" s="3">
        <v>120</v>
      </c>
    </row>
    <row r="40" spans="2:15" x14ac:dyDescent="0.2">
      <c r="B40" s="4">
        <v>37</v>
      </c>
      <c r="C40" s="3">
        <v>179</v>
      </c>
      <c r="D40" s="2">
        <v>37</v>
      </c>
      <c r="E40" s="3">
        <v>91</v>
      </c>
      <c r="F40" s="2">
        <v>37</v>
      </c>
      <c r="G40" s="3">
        <v>52</v>
      </c>
      <c r="H40" s="2">
        <v>37</v>
      </c>
      <c r="I40" s="3">
        <v>103</v>
      </c>
    </row>
    <row r="41" spans="2:15" x14ac:dyDescent="0.2">
      <c r="B41" s="4">
        <v>38</v>
      </c>
      <c r="C41" s="3">
        <v>144</v>
      </c>
      <c r="D41" s="2">
        <v>38</v>
      </c>
      <c r="E41" s="3">
        <v>106</v>
      </c>
      <c r="F41" s="2">
        <v>38</v>
      </c>
      <c r="G41" s="3">
        <v>52</v>
      </c>
      <c r="H41" s="2">
        <v>38</v>
      </c>
      <c r="I41" s="3">
        <v>111</v>
      </c>
    </row>
    <row r="42" spans="2:15" x14ac:dyDescent="0.2">
      <c r="B42" s="4">
        <v>39</v>
      </c>
      <c r="C42" s="3">
        <v>126</v>
      </c>
      <c r="D42" s="2">
        <v>39</v>
      </c>
      <c r="E42" s="3">
        <v>113</v>
      </c>
      <c r="F42" s="2">
        <v>39</v>
      </c>
      <c r="G42" s="3">
        <v>69</v>
      </c>
      <c r="H42" s="2">
        <v>39</v>
      </c>
      <c r="I42" s="3">
        <v>102</v>
      </c>
    </row>
    <row r="43" spans="2:15" x14ac:dyDescent="0.2">
      <c r="B43" s="4">
        <v>40</v>
      </c>
      <c r="C43" s="3">
        <v>143</v>
      </c>
      <c r="D43" s="2">
        <v>40</v>
      </c>
      <c r="E43" s="3">
        <v>97</v>
      </c>
      <c r="F43" s="2">
        <v>40</v>
      </c>
      <c r="G43" s="3">
        <v>63</v>
      </c>
      <c r="H43" s="2">
        <v>40</v>
      </c>
      <c r="I43" s="3">
        <v>95</v>
      </c>
    </row>
    <row r="44" spans="2:15" x14ac:dyDescent="0.2">
      <c r="B44" s="4">
        <v>41</v>
      </c>
      <c r="C44" s="3">
        <v>121</v>
      </c>
      <c r="D44" s="2">
        <v>41</v>
      </c>
      <c r="E44" s="3">
        <v>121</v>
      </c>
      <c r="F44" s="2">
        <v>41</v>
      </c>
      <c r="G44" s="3">
        <v>59</v>
      </c>
      <c r="H44" s="2">
        <v>41</v>
      </c>
      <c r="I44" s="3">
        <v>91</v>
      </c>
    </row>
    <row r="45" spans="2:15" x14ac:dyDescent="0.2">
      <c r="B45" s="4">
        <v>42</v>
      </c>
      <c r="C45" s="3">
        <v>171</v>
      </c>
      <c r="D45" s="2">
        <v>42</v>
      </c>
      <c r="E45" s="3">
        <v>93</v>
      </c>
      <c r="F45" s="2">
        <v>42</v>
      </c>
      <c r="G45" s="3">
        <v>78</v>
      </c>
      <c r="H45" s="2">
        <v>42</v>
      </c>
      <c r="I45" s="3">
        <v>107</v>
      </c>
    </row>
    <row r="46" spans="2:15" x14ac:dyDescent="0.2">
      <c r="B46" s="4">
        <v>43</v>
      </c>
      <c r="C46" s="3">
        <v>152</v>
      </c>
      <c r="D46" s="2">
        <v>43</v>
      </c>
      <c r="E46" s="3">
        <v>103</v>
      </c>
      <c r="F46" s="2">
        <v>43</v>
      </c>
      <c r="G46" s="3">
        <v>88</v>
      </c>
      <c r="H46" s="2">
        <v>43</v>
      </c>
      <c r="I46" s="3">
        <v>82</v>
      </c>
    </row>
    <row r="47" spans="2:15" x14ac:dyDescent="0.2">
      <c r="B47" s="4">
        <v>44</v>
      </c>
      <c r="C47" s="3">
        <v>151</v>
      </c>
      <c r="D47" s="2">
        <v>44</v>
      </c>
      <c r="E47" s="3">
        <v>92</v>
      </c>
      <c r="F47" s="2">
        <v>44</v>
      </c>
      <c r="G47" s="3">
        <v>70</v>
      </c>
      <c r="H47" s="2">
        <v>44</v>
      </c>
      <c r="I47" s="3">
        <v>113</v>
      </c>
    </row>
    <row r="48" spans="2:15" x14ac:dyDescent="0.2">
      <c r="B48" s="4">
        <v>45</v>
      </c>
      <c r="C48" s="3">
        <v>128</v>
      </c>
      <c r="D48" s="2">
        <v>45</v>
      </c>
      <c r="E48" s="3">
        <v>107</v>
      </c>
      <c r="F48" s="2">
        <v>45</v>
      </c>
      <c r="G48" s="3">
        <v>100</v>
      </c>
      <c r="H48" s="2">
        <v>45</v>
      </c>
      <c r="I48" s="3">
        <v>109</v>
      </c>
    </row>
    <row r="49" spans="2:9" x14ac:dyDescent="0.2">
      <c r="B49" s="4">
        <v>46</v>
      </c>
      <c r="C49" s="3">
        <v>149</v>
      </c>
      <c r="D49" s="2">
        <v>46</v>
      </c>
      <c r="E49" s="3">
        <v>77</v>
      </c>
      <c r="F49" s="2">
        <v>46</v>
      </c>
      <c r="G49" s="3">
        <v>74</v>
      </c>
      <c r="H49" s="2">
        <v>46</v>
      </c>
      <c r="I49" s="3">
        <v>91</v>
      </c>
    </row>
    <row r="50" spans="2:9" x14ac:dyDescent="0.2">
      <c r="B50" s="4">
        <v>47</v>
      </c>
      <c r="C50" s="3">
        <v>153</v>
      </c>
      <c r="D50" s="2">
        <v>47</v>
      </c>
      <c r="E50" s="3">
        <v>89</v>
      </c>
      <c r="F50" s="2">
        <v>47</v>
      </c>
      <c r="G50" s="3">
        <v>65</v>
      </c>
      <c r="H50" s="2">
        <v>47</v>
      </c>
      <c r="I50" s="3">
        <v>85</v>
      </c>
    </row>
    <row r="51" spans="2:9" x14ac:dyDescent="0.2">
      <c r="B51" s="4">
        <v>48</v>
      </c>
      <c r="C51" s="3">
        <v>143</v>
      </c>
      <c r="D51" s="2">
        <v>48</v>
      </c>
      <c r="E51" s="3">
        <v>95</v>
      </c>
      <c r="F51" s="2">
        <v>48</v>
      </c>
      <c r="G51" s="3">
        <v>60</v>
      </c>
      <c r="H51" s="2">
        <v>48</v>
      </c>
      <c r="I51" s="3">
        <v>122</v>
      </c>
    </row>
    <row r="52" spans="2:9" x14ac:dyDescent="0.2">
      <c r="B52" s="4">
        <v>49</v>
      </c>
      <c r="C52" s="3">
        <v>150</v>
      </c>
      <c r="D52" s="2">
        <v>49</v>
      </c>
      <c r="E52" s="3">
        <v>101</v>
      </c>
      <c r="F52" s="2">
        <v>49</v>
      </c>
      <c r="G52" s="3">
        <v>68</v>
      </c>
      <c r="H52" s="2">
        <v>49</v>
      </c>
      <c r="I52" s="3">
        <v>75</v>
      </c>
    </row>
    <row r="53" spans="2:9" x14ac:dyDescent="0.2">
      <c r="B53" s="4">
        <v>50</v>
      </c>
      <c r="C53" s="3">
        <v>124</v>
      </c>
      <c r="D53" s="2">
        <v>50</v>
      </c>
      <c r="E53" s="3">
        <v>107</v>
      </c>
      <c r="F53" s="2">
        <v>50</v>
      </c>
      <c r="G53" s="3">
        <v>62</v>
      </c>
      <c r="H53" s="2">
        <v>50</v>
      </c>
      <c r="I53" s="3">
        <v>93</v>
      </c>
    </row>
    <row r="54" spans="2:9" x14ac:dyDescent="0.2">
      <c r="B54" s="4">
        <v>51</v>
      </c>
      <c r="C54" s="3">
        <v>126</v>
      </c>
      <c r="D54" s="2">
        <v>51</v>
      </c>
      <c r="E54" s="3">
        <v>103</v>
      </c>
      <c r="F54" s="2">
        <v>51</v>
      </c>
      <c r="G54" s="3">
        <v>64</v>
      </c>
      <c r="H54" s="2">
        <v>51</v>
      </c>
      <c r="I54" s="3">
        <v>109</v>
      </c>
    </row>
    <row r="55" spans="2:9" x14ac:dyDescent="0.2">
      <c r="B55" s="4">
        <v>52</v>
      </c>
      <c r="C55" s="3">
        <v>163</v>
      </c>
      <c r="D55" s="2">
        <v>52</v>
      </c>
      <c r="E55" s="3">
        <v>103</v>
      </c>
      <c r="F55" s="2">
        <v>52</v>
      </c>
      <c r="G55" s="3">
        <v>59</v>
      </c>
      <c r="H55" s="2">
        <v>52</v>
      </c>
      <c r="I55" s="3">
        <v>108</v>
      </c>
    </row>
    <row r="56" spans="2:9" x14ac:dyDescent="0.2">
      <c r="B56" s="4">
        <v>53</v>
      </c>
      <c r="C56" s="3">
        <v>114</v>
      </c>
      <c r="D56" s="2">
        <v>53</v>
      </c>
      <c r="E56" s="3">
        <v>82</v>
      </c>
      <c r="F56" s="2">
        <v>53</v>
      </c>
      <c r="G56" s="3">
        <v>82</v>
      </c>
      <c r="H56" s="2">
        <v>53</v>
      </c>
      <c r="I56" s="3">
        <v>96</v>
      </c>
    </row>
    <row r="57" spans="2:9" x14ac:dyDescent="0.2">
      <c r="B57" s="4">
        <v>54</v>
      </c>
      <c r="C57" s="3">
        <v>115</v>
      </c>
      <c r="D57" s="2">
        <v>54</v>
      </c>
      <c r="E57" s="3">
        <v>78</v>
      </c>
      <c r="F57" s="2">
        <v>54</v>
      </c>
      <c r="G57" s="3">
        <v>86</v>
      </c>
      <c r="H57" s="2">
        <v>54</v>
      </c>
      <c r="I57" s="3">
        <v>100</v>
      </c>
    </row>
    <row r="58" spans="2:9" x14ac:dyDescent="0.2">
      <c r="B58" s="4">
        <v>55</v>
      </c>
      <c r="C58" s="3">
        <v>131</v>
      </c>
      <c r="D58" s="2">
        <v>55</v>
      </c>
      <c r="E58" s="3">
        <v>95</v>
      </c>
      <c r="F58" s="2">
        <v>55</v>
      </c>
      <c r="G58" s="3">
        <v>88</v>
      </c>
      <c r="H58" s="2">
        <v>55</v>
      </c>
      <c r="I58" s="3">
        <v>116</v>
      </c>
    </row>
    <row r="59" spans="2:9" x14ac:dyDescent="0.2">
      <c r="B59" s="4">
        <v>56</v>
      </c>
      <c r="C59" s="3">
        <v>133</v>
      </c>
      <c r="D59" s="2">
        <v>56</v>
      </c>
      <c r="E59" s="3">
        <v>99</v>
      </c>
      <c r="F59" s="2">
        <v>56</v>
      </c>
      <c r="G59" s="3">
        <v>85</v>
      </c>
      <c r="H59" s="2">
        <v>56</v>
      </c>
      <c r="I59" s="3">
        <v>110</v>
      </c>
    </row>
    <row r="60" spans="2:9" x14ac:dyDescent="0.2">
      <c r="B60" s="4">
        <v>57</v>
      </c>
      <c r="C60" s="3">
        <v>160</v>
      </c>
      <c r="D60" s="2">
        <v>57</v>
      </c>
      <c r="E60" s="3">
        <v>108</v>
      </c>
      <c r="F60" s="2">
        <v>57</v>
      </c>
      <c r="G60" s="3">
        <v>57</v>
      </c>
      <c r="H60" s="2">
        <v>57</v>
      </c>
      <c r="I60" s="3">
        <v>107</v>
      </c>
    </row>
    <row r="61" spans="2:9" x14ac:dyDescent="0.2">
      <c r="B61" s="4">
        <v>58</v>
      </c>
      <c r="C61" s="3">
        <v>165</v>
      </c>
      <c r="D61" s="2">
        <v>58</v>
      </c>
      <c r="E61" s="3">
        <v>90</v>
      </c>
      <c r="F61" s="2">
        <v>58</v>
      </c>
      <c r="G61" s="3">
        <v>59</v>
      </c>
      <c r="H61" s="2">
        <v>58</v>
      </c>
      <c r="I61" s="3">
        <v>104</v>
      </c>
    </row>
    <row r="62" spans="2:9" x14ac:dyDescent="0.2">
      <c r="B62" s="4">
        <v>59</v>
      </c>
      <c r="C62" s="3">
        <v>141</v>
      </c>
      <c r="D62" s="2">
        <v>59</v>
      </c>
      <c r="E62" s="3">
        <v>107</v>
      </c>
      <c r="F62" s="2">
        <v>59</v>
      </c>
      <c r="G62" s="3">
        <v>86</v>
      </c>
      <c r="H62" s="2">
        <v>59</v>
      </c>
      <c r="I62" s="3">
        <v>119</v>
      </c>
    </row>
    <row r="63" spans="2:9" x14ac:dyDescent="0.2">
      <c r="B63" s="4">
        <v>60</v>
      </c>
      <c r="C63" s="3">
        <v>131</v>
      </c>
      <c r="D63" s="2">
        <v>60</v>
      </c>
      <c r="E63" s="3">
        <v>106</v>
      </c>
      <c r="F63" s="2">
        <v>60</v>
      </c>
      <c r="G63" s="3">
        <v>53</v>
      </c>
      <c r="H63" s="2">
        <v>60</v>
      </c>
      <c r="I63" s="3">
        <v>111</v>
      </c>
    </row>
    <row r="64" spans="2:9" x14ac:dyDescent="0.2">
      <c r="B64" s="4">
        <v>61</v>
      </c>
      <c r="C64" s="3">
        <v>135</v>
      </c>
      <c r="D64" s="2">
        <v>61</v>
      </c>
      <c r="E64" s="3">
        <v>96</v>
      </c>
      <c r="F64" s="2">
        <v>61</v>
      </c>
      <c r="G64" s="3">
        <v>55</v>
      </c>
      <c r="H64" s="2">
        <v>61</v>
      </c>
      <c r="I64" s="3">
        <v>101</v>
      </c>
    </row>
    <row r="65" spans="2:9" x14ac:dyDescent="0.2">
      <c r="B65" s="4">
        <v>62</v>
      </c>
      <c r="C65" s="3">
        <v>154</v>
      </c>
      <c r="D65" s="2">
        <v>62</v>
      </c>
      <c r="E65" s="3">
        <v>109</v>
      </c>
      <c r="F65" s="2">
        <v>62</v>
      </c>
      <c r="G65" s="3">
        <v>58</v>
      </c>
      <c r="H65" s="2">
        <v>62</v>
      </c>
      <c r="I65" s="3">
        <v>99</v>
      </c>
    </row>
    <row r="66" spans="2:9" x14ac:dyDescent="0.2">
      <c r="B66" s="4">
        <v>63</v>
      </c>
      <c r="C66" s="3">
        <v>141</v>
      </c>
      <c r="D66" s="2">
        <v>63</v>
      </c>
      <c r="E66" s="3">
        <v>89</v>
      </c>
      <c r="F66" s="2">
        <v>63</v>
      </c>
      <c r="G66" s="3">
        <v>51</v>
      </c>
      <c r="H66" s="2">
        <v>63</v>
      </c>
      <c r="I66" s="3">
        <v>100</v>
      </c>
    </row>
    <row r="67" spans="2:9" x14ac:dyDescent="0.2">
      <c r="B67" s="4">
        <v>64</v>
      </c>
      <c r="C67" s="3">
        <v>129</v>
      </c>
      <c r="D67" s="2">
        <v>64</v>
      </c>
      <c r="E67" s="3">
        <v>98</v>
      </c>
      <c r="F67" s="2">
        <v>64</v>
      </c>
      <c r="G67" s="3">
        <v>104</v>
      </c>
      <c r="H67" s="2">
        <v>64</v>
      </c>
      <c r="I67" s="3">
        <v>98</v>
      </c>
    </row>
    <row r="68" spans="2:9" x14ac:dyDescent="0.2">
      <c r="B68" s="4">
        <v>65</v>
      </c>
      <c r="C68" s="3">
        <v>135</v>
      </c>
      <c r="D68" s="2">
        <v>65</v>
      </c>
      <c r="E68" s="3">
        <v>98</v>
      </c>
      <c r="F68" s="2">
        <v>65</v>
      </c>
      <c r="G68" s="3">
        <v>96</v>
      </c>
      <c r="H68" s="2">
        <v>65</v>
      </c>
      <c r="I68" s="3">
        <v>100</v>
      </c>
    </row>
    <row r="69" spans="2:9" x14ac:dyDescent="0.2">
      <c r="B69" s="4">
        <v>66</v>
      </c>
      <c r="C69" s="3">
        <v>155</v>
      </c>
      <c r="D69" s="2">
        <v>66</v>
      </c>
      <c r="E69" s="3">
        <v>96</v>
      </c>
      <c r="F69" s="2">
        <v>66</v>
      </c>
      <c r="G69" s="3">
        <v>96</v>
      </c>
      <c r="H69" s="2">
        <v>66</v>
      </c>
      <c r="I69" s="3">
        <v>95</v>
      </c>
    </row>
    <row r="70" spans="2:9" x14ac:dyDescent="0.2">
      <c r="B70" s="4">
        <v>67</v>
      </c>
      <c r="C70" s="3">
        <v>157</v>
      </c>
      <c r="D70" s="2">
        <v>67</v>
      </c>
      <c r="E70" s="3">
        <v>92</v>
      </c>
      <c r="F70" s="2">
        <v>67</v>
      </c>
      <c r="G70" s="3">
        <v>96</v>
      </c>
      <c r="H70" s="2">
        <v>67</v>
      </c>
      <c r="I70" s="3">
        <v>109</v>
      </c>
    </row>
    <row r="71" spans="2:9" x14ac:dyDescent="0.2">
      <c r="B71" s="4">
        <v>68</v>
      </c>
      <c r="C71" s="3">
        <v>135</v>
      </c>
      <c r="D71" s="2">
        <v>68</v>
      </c>
      <c r="E71" s="3">
        <v>97</v>
      </c>
      <c r="F71" s="2">
        <v>68</v>
      </c>
      <c r="G71" s="3">
        <v>54</v>
      </c>
      <c r="H71" s="2">
        <v>68</v>
      </c>
      <c r="I71" s="3">
        <v>97</v>
      </c>
    </row>
    <row r="72" spans="2:9" x14ac:dyDescent="0.2">
      <c r="B72" s="4">
        <v>69</v>
      </c>
      <c r="C72" s="3">
        <v>155</v>
      </c>
      <c r="D72" s="2">
        <v>69</v>
      </c>
      <c r="E72" s="3">
        <v>99</v>
      </c>
      <c r="F72" s="2">
        <v>69</v>
      </c>
      <c r="G72" s="3">
        <v>68</v>
      </c>
      <c r="H72" s="2">
        <v>69</v>
      </c>
      <c r="I72" s="3">
        <v>86</v>
      </c>
    </row>
    <row r="73" spans="2:9" x14ac:dyDescent="0.2">
      <c r="D73" s="2">
        <v>70</v>
      </c>
      <c r="E73" s="3">
        <v>97</v>
      </c>
      <c r="F73" s="2">
        <v>70</v>
      </c>
      <c r="G73" s="3">
        <v>59</v>
      </c>
      <c r="H73" s="2">
        <v>70</v>
      </c>
      <c r="I73" s="3">
        <v>97</v>
      </c>
    </row>
    <row r="74" spans="2:9" x14ac:dyDescent="0.2">
      <c r="D74" s="2">
        <v>71</v>
      </c>
      <c r="E74" s="3">
        <v>112</v>
      </c>
      <c r="F74" s="2">
        <v>71</v>
      </c>
      <c r="G74" s="3">
        <v>42</v>
      </c>
      <c r="H74" s="2">
        <v>71</v>
      </c>
      <c r="I74" s="3">
        <v>101</v>
      </c>
    </row>
    <row r="75" spans="2:9" x14ac:dyDescent="0.2">
      <c r="D75" s="2">
        <v>72</v>
      </c>
      <c r="E75" s="3">
        <v>94</v>
      </c>
      <c r="F75" s="2">
        <v>72</v>
      </c>
      <c r="G75" s="3">
        <v>66</v>
      </c>
      <c r="H75" s="2">
        <v>72</v>
      </c>
      <c r="I75" s="3">
        <v>100</v>
      </c>
    </row>
    <row r="76" spans="2:9" x14ac:dyDescent="0.2">
      <c r="D76" s="2">
        <v>73</v>
      </c>
      <c r="E76" s="3">
        <v>111</v>
      </c>
      <c r="F76" s="2">
        <v>73</v>
      </c>
      <c r="G76" s="3">
        <v>67</v>
      </c>
      <c r="H76" s="2">
        <v>73</v>
      </c>
      <c r="I76" s="3">
        <v>92</v>
      </c>
    </row>
    <row r="77" spans="2:9" x14ac:dyDescent="0.2">
      <c r="D77" s="2">
        <v>74</v>
      </c>
      <c r="E77" s="3">
        <v>101</v>
      </c>
      <c r="F77" s="2">
        <v>74</v>
      </c>
      <c r="G77" s="3">
        <v>57</v>
      </c>
      <c r="H77" s="2">
        <v>74</v>
      </c>
      <c r="I77" s="3">
        <v>103</v>
      </c>
    </row>
    <row r="78" spans="2:9" x14ac:dyDescent="0.2">
      <c r="D78" s="2">
        <v>75</v>
      </c>
      <c r="E78" s="3">
        <v>95</v>
      </c>
      <c r="F78" s="2">
        <v>75</v>
      </c>
      <c r="G78" s="3">
        <v>101</v>
      </c>
      <c r="H78" s="2">
        <v>75</v>
      </c>
      <c r="I78" s="3">
        <v>103</v>
      </c>
    </row>
    <row r="79" spans="2:9" x14ac:dyDescent="0.2">
      <c r="D79" s="2">
        <v>76</v>
      </c>
      <c r="E79" s="3">
        <v>91</v>
      </c>
      <c r="F79" s="2">
        <v>76</v>
      </c>
      <c r="G79" s="3">
        <v>99</v>
      </c>
      <c r="H79" s="2">
        <v>76</v>
      </c>
      <c r="I79" s="3">
        <v>104</v>
      </c>
    </row>
    <row r="80" spans="2:9" x14ac:dyDescent="0.2">
      <c r="D80" s="2">
        <v>77</v>
      </c>
      <c r="E80" s="3">
        <v>97</v>
      </c>
      <c r="F80" s="2">
        <v>77</v>
      </c>
      <c r="G80" s="3">
        <v>86</v>
      </c>
      <c r="H80" s="2">
        <v>77</v>
      </c>
      <c r="I80" s="3">
        <v>116</v>
      </c>
    </row>
    <row r="81" spans="4:9" x14ac:dyDescent="0.2">
      <c r="D81" s="2">
        <v>78</v>
      </c>
      <c r="E81" s="3">
        <v>81</v>
      </c>
      <c r="F81" s="2">
        <v>78</v>
      </c>
      <c r="G81" s="3">
        <v>99</v>
      </c>
      <c r="H81" s="2">
        <v>78</v>
      </c>
      <c r="I81" s="3">
        <v>107</v>
      </c>
    </row>
    <row r="82" spans="4:9" x14ac:dyDescent="0.2">
      <c r="D82" s="2">
        <v>79</v>
      </c>
      <c r="E82" s="3">
        <v>108</v>
      </c>
      <c r="F82" s="2">
        <v>79</v>
      </c>
      <c r="G82" s="3">
        <v>80</v>
      </c>
      <c r="H82" s="2">
        <v>79</v>
      </c>
      <c r="I82" s="3">
        <v>111</v>
      </c>
    </row>
    <row r="83" spans="4:9" x14ac:dyDescent="0.2">
      <c r="D83" s="2">
        <v>80</v>
      </c>
      <c r="E83" s="3">
        <v>111</v>
      </c>
      <c r="F83" s="2">
        <v>80</v>
      </c>
      <c r="G83" s="3">
        <v>81</v>
      </c>
      <c r="H83" s="2">
        <v>80</v>
      </c>
      <c r="I83" s="3">
        <v>97</v>
      </c>
    </row>
    <row r="84" spans="4:9" x14ac:dyDescent="0.2">
      <c r="D84" s="2">
        <v>81</v>
      </c>
      <c r="E84" s="3">
        <v>90</v>
      </c>
      <c r="F84" s="2">
        <v>81</v>
      </c>
      <c r="G84" s="3">
        <v>79</v>
      </c>
      <c r="H84" s="2">
        <v>81</v>
      </c>
      <c r="I84" s="3">
        <v>110</v>
      </c>
    </row>
    <row r="85" spans="4:9" x14ac:dyDescent="0.2">
      <c r="D85" s="2">
        <v>82</v>
      </c>
      <c r="E85" s="3">
        <v>106</v>
      </c>
      <c r="F85" s="2">
        <v>82</v>
      </c>
      <c r="G85" s="3">
        <v>74</v>
      </c>
      <c r="H85" s="2">
        <v>82</v>
      </c>
      <c r="I85" s="3">
        <v>113</v>
      </c>
    </row>
    <row r="86" spans="4:9" x14ac:dyDescent="0.2">
      <c r="D86" s="2">
        <v>83</v>
      </c>
      <c r="E86" s="3">
        <v>88</v>
      </c>
      <c r="F86" s="2">
        <v>83</v>
      </c>
      <c r="G86" s="3">
        <v>70</v>
      </c>
      <c r="H86" s="2">
        <v>83</v>
      </c>
      <c r="I86" s="3">
        <v>94</v>
      </c>
    </row>
    <row r="87" spans="4:9" x14ac:dyDescent="0.2">
      <c r="D87" s="2">
        <v>84</v>
      </c>
      <c r="E87" s="3">
        <v>97</v>
      </c>
      <c r="F87" s="2">
        <v>84</v>
      </c>
      <c r="G87" s="3">
        <v>71</v>
      </c>
      <c r="H87" s="2">
        <v>84</v>
      </c>
      <c r="I87" s="3">
        <v>99</v>
      </c>
    </row>
    <row r="88" spans="4:9" x14ac:dyDescent="0.2">
      <c r="D88" s="2">
        <v>85</v>
      </c>
      <c r="E88" s="3">
        <v>100</v>
      </c>
      <c r="F88" s="2">
        <v>85</v>
      </c>
      <c r="G88" s="3">
        <v>67</v>
      </c>
      <c r="H88" s="2">
        <v>85</v>
      </c>
      <c r="I88" s="3">
        <v>100</v>
      </c>
    </row>
    <row r="89" spans="4:9" x14ac:dyDescent="0.2">
      <c r="D89" s="2">
        <v>86</v>
      </c>
      <c r="E89" s="3">
        <v>97</v>
      </c>
      <c r="F89" s="2">
        <v>86</v>
      </c>
      <c r="G89" s="3">
        <v>107</v>
      </c>
      <c r="H89" s="2">
        <v>86</v>
      </c>
      <c r="I89" s="3">
        <v>105</v>
      </c>
    </row>
    <row r="90" spans="4:9" x14ac:dyDescent="0.2">
      <c r="D90" s="2">
        <v>87</v>
      </c>
      <c r="E90" s="3">
        <v>101</v>
      </c>
      <c r="F90" s="2">
        <v>87</v>
      </c>
      <c r="G90" s="3">
        <v>104</v>
      </c>
      <c r="H90" s="2">
        <v>87</v>
      </c>
      <c r="I90" s="3">
        <v>90</v>
      </c>
    </row>
    <row r="91" spans="4:9" x14ac:dyDescent="0.2">
      <c r="D91" s="2">
        <v>88</v>
      </c>
      <c r="E91" s="3">
        <v>107</v>
      </c>
      <c r="F91" s="2">
        <v>88</v>
      </c>
      <c r="G91" s="3">
        <v>115</v>
      </c>
      <c r="H91" s="2">
        <v>88</v>
      </c>
      <c r="I91" s="3">
        <v>105</v>
      </c>
    </row>
    <row r="92" spans="4:9" x14ac:dyDescent="0.2">
      <c r="D92" s="2">
        <v>89</v>
      </c>
      <c r="E92" s="3">
        <v>107</v>
      </c>
      <c r="F92" s="2">
        <v>89</v>
      </c>
      <c r="G92" s="3">
        <v>102</v>
      </c>
      <c r="H92" s="2">
        <v>89</v>
      </c>
      <c r="I92" s="3">
        <v>101</v>
      </c>
    </row>
    <row r="93" spans="4:9" x14ac:dyDescent="0.2">
      <c r="D93" s="2">
        <v>90</v>
      </c>
      <c r="E93" s="3">
        <v>89</v>
      </c>
      <c r="F93" s="2">
        <v>90</v>
      </c>
      <c r="G93" s="3">
        <v>96</v>
      </c>
      <c r="H93" s="2">
        <v>90</v>
      </c>
      <c r="I93" s="3">
        <v>95</v>
      </c>
    </row>
    <row r="94" spans="4:9" x14ac:dyDescent="0.2">
      <c r="D94" s="2">
        <v>91</v>
      </c>
      <c r="E94" s="3">
        <v>96</v>
      </c>
      <c r="F94" s="2">
        <v>91</v>
      </c>
      <c r="G94" s="3">
        <v>97</v>
      </c>
      <c r="H94" s="2">
        <v>91</v>
      </c>
      <c r="I94" s="3">
        <v>100</v>
      </c>
    </row>
    <row r="95" spans="4:9" x14ac:dyDescent="0.2">
      <c r="D95" s="2">
        <v>92</v>
      </c>
      <c r="E95" s="3">
        <v>102</v>
      </c>
      <c r="F95" s="2">
        <v>92</v>
      </c>
      <c r="G95" s="3">
        <v>100</v>
      </c>
      <c r="H95" s="2">
        <v>92</v>
      </c>
      <c r="I95" s="3">
        <v>92</v>
      </c>
    </row>
    <row r="96" spans="4:9" x14ac:dyDescent="0.2">
      <c r="D96" s="2">
        <v>93</v>
      </c>
      <c r="E96" s="3">
        <v>87</v>
      </c>
      <c r="F96" s="2">
        <v>93</v>
      </c>
      <c r="G96" s="3">
        <v>72</v>
      </c>
      <c r="H96" s="2">
        <v>93</v>
      </c>
      <c r="I96" s="3">
        <v>96</v>
      </c>
    </row>
    <row r="97" spans="4:9" x14ac:dyDescent="0.2">
      <c r="D97" s="2">
        <v>94</v>
      </c>
      <c r="E97" s="3">
        <v>80</v>
      </c>
      <c r="F97" s="2">
        <v>94</v>
      </c>
      <c r="G97" s="3">
        <v>90</v>
      </c>
      <c r="H97" s="2">
        <v>94</v>
      </c>
      <c r="I97" s="3">
        <v>106</v>
      </c>
    </row>
    <row r="98" spans="4:9" x14ac:dyDescent="0.2">
      <c r="D98" s="2">
        <v>95</v>
      </c>
      <c r="E98" s="3">
        <v>95</v>
      </c>
      <c r="F98" s="2">
        <v>95</v>
      </c>
      <c r="G98" s="3">
        <v>84</v>
      </c>
      <c r="H98" s="2">
        <v>95</v>
      </c>
      <c r="I98" s="3">
        <v>88</v>
      </c>
    </row>
    <row r="99" spans="4:9" x14ac:dyDescent="0.2">
      <c r="D99" s="2">
        <v>96</v>
      </c>
      <c r="E99" s="3">
        <v>98</v>
      </c>
      <c r="F99" s="2">
        <v>96</v>
      </c>
      <c r="G99" s="3">
        <v>87</v>
      </c>
      <c r="H99" s="2">
        <v>96</v>
      </c>
      <c r="I99" s="3">
        <v>89</v>
      </c>
    </row>
    <row r="100" spans="4:9" x14ac:dyDescent="0.2">
      <c r="D100" s="2">
        <v>97</v>
      </c>
      <c r="E100" s="3">
        <v>89</v>
      </c>
      <c r="F100" s="2">
        <v>97</v>
      </c>
      <c r="G100" s="3">
        <v>137</v>
      </c>
      <c r="H100" s="2">
        <v>97</v>
      </c>
      <c r="I100" s="3">
        <v>100</v>
      </c>
    </row>
    <row r="101" spans="4:9" x14ac:dyDescent="0.2">
      <c r="D101" s="2">
        <v>98</v>
      </c>
      <c r="E101" s="3">
        <v>111</v>
      </c>
      <c r="F101" s="2">
        <v>98</v>
      </c>
      <c r="G101" s="3">
        <v>136</v>
      </c>
      <c r="H101" s="2">
        <v>98</v>
      </c>
      <c r="I101" s="3">
        <v>98</v>
      </c>
    </row>
    <row r="102" spans="4:9" x14ac:dyDescent="0.2">
      <c r="D102" s="2">
        <v>99</v>
      </c>
      <c r="E102" s="3">
        <v>92</v>
      </c>
      <c r="F102" s="2">
        <v>99</v>
      </c>
      <c r="G102" s="3">
        <v>147</v>
      </c>
      <c r="H102" s="2">
        <v>99</v>
      </c>
      <c r="I102" s="3">
        <v>110</v>
      </c>
    </row>
    <row r="103" spans="4:9" x14ac:dyDescent="0.2">
      <c r="D103" s="2">
        <v>100</v>
      </c>
      <c r="E103" s="3">
        <v>92</v>
      </c>
      <c r="F103" s="2">
        <v>100</v>
      </c>
      <c r="G103" s="3">
        <v>119</v>
      </c>
    </row>
    <row r="104" spans="4:9" x14ac:dyDescent="0.2">
      <c r="D104" s="2">
        <v>101</v>
      </c>
      <c r="E104" s="3">
        <v>99</v>
      </c>
      <c r="F104" s="2">
        <v>101</v>
      </c>
      <c r="G104" s="3">
        <v>89</v>
      </c>
    </row>
    <row r="105" spans="4:9" x14ac:dyDescent="0.2">
      <c r="D105" s="2">
        <v>102</v>
      </c>
      <c r="E105" s="3">
        <v>90</v>
      </c>
      <c r="F105" s="2">
        <v>102</v>
      </c>
      <c r="G105" s="3">
        <v>84</v>
      </c>
    </row>
    <row r="106" spans="4:9" x14ac:dyDescent="0.2">
      <c r="F106" s="2">
        <v>103</v>
      </c>
      <c r="G106" s="3">
        <v>98</v>
      </c>
    </row>
    <row r="107" spans="4:9" x14ac:dyDescent="0.2">
      <c r="F107" s="2">
        <v>104</v>
      </c>
      <c r="G107" s="3">
        <v>91</v>
      </c>
    </row>
    <row r="108" spans="4:9" x14ac:dyDescent="0.2">
      <c r="F108" s="2">
        <v>105</v>
      </c>
      <c r="G108" s="3">
        <v>78</v>
      </c>
    </row>
    <row r="109" spans="4:9" x14ac:dyDescent="0.2">
      <c r="F109" s="2">
        <v>106</v>
      </c>
      <c r="G109" s="3">
        <v>84</v>
      </c>
    </row>
    <row r="110" spans="4:9" x14ac:dyDescent="0.2">
      <c r="F110" s="2">
        <v>107</v>
      </c>
      <c r="G110" s="3">
        <v>71</v>
      </c>
    </row>
    <row r="111" spans="4:9" x14ac:dyDescent="0.2">
      <c r="F111" s="2">
        <v>108</v>
      </c>
      <c r="G111" s="3">
        <v>135</v>
      </c>
    </row>
    <row r="112" spans="4:9" x14ac:dyDescent="0.2">
      <c r="F112" s="2">
        <v>109</v>
      </c>
      <c r="G112" s="3">
        <v>147</v>
      </c>
    </row>
    <row r="113" spans="6:7" x14ac:dyDescent="0.2">
      <c r="F113" s="2">
        <v>110</v>
      </c>
      <c r="G113" s="3">
        <v>150</v>
      </c>
    </row>
    <row r="114" spans="6:7" x14ac:dyDescent="0.2">
      <c r="F114" s="2">
        <v>111</v>
      </c>
      <c r="G114" s="3">
        <v>119</v>
      </c>
    </row>
    <row r="115" spans="6:7" x14ac:dyDescent="0.2">
      <c r="F115" s="2">
        <v>112</v>
      </c>
      <c r="G115" s="3">
        <v>115</v>
      </c>
    </row>
    <row r="116" spans="6:7" x14ac:dyDescent="0.2">
      <c r="F116" s="2">
        <v>113</v>
      </c>
      <c r="G116" s="3">
        <v>88</v>
      </c>
    </row>
    <row r="117" spans="6:7" x14ac:dyDescent="0.2">
      <c r="F117" s="2">
        <v>114</v>
      </c>
      <c r="G117" s="3">
        <v>81</v>
      </c>
    </row>
    <row r="118" spans="6:7" x14ac:dyDescent="0.2">
      <c r="F118" s="2">
        <v>115</v>
      </c>
      <c r="G118" s="3">
        <v>75</v>
      </c>
    </row>
    <row r="119" spans="6:7" x14ac:dyDescent="0.2">
      <c r="F119" s="2">
        <v>116</v>
      </c>
      <c r="G119" s="3">
        <v>89</v>
      </c>
    </row>
    <row r="120" spans="6:7" x14ac:dyDescent="0.2">
      <c r="F120" s="2">
        <v>117</v>
      </c>
      <c r="G120" s="3">
        <v>103</v>
      </c>
    </row>
    <row r="121" spans="6:7" x14ac:dyDescent="0.2">
      <c r="F121" s="2">
        <v>118</v>
      </c>
      <c r="G121" s="3">
        <v>107</v>
      </c>
    </row>
    <row r="122" spans="6:7" x14ac:dyDescent="0.2">
      <c r="F122" s="2">
        <v>119</v>
      </c>
      <c r="G122" s="3">
        <v>104</v>
      </c>
    </row>
    <row r="123" spans="6:7" x14ac:dyDescent="0.2">
      <c r="F123" s="2">
        <v>120</v>
      </c>
      <c r="G123" s="3">
        <v>103</v>
      </c>
    </row>
  </sheetData>
  <mergeCells count="13">
    <mergeCell ref="T10:V10"/>
    <mergeCell ref="T17:V17"/>
    <mergeCell ref="T24:V24"/>
    <mergeCell ref="T23:V23"/>
    <mergeCell ref="T16:V16"/>
    <mergeCell ref="T9:V9"/>
    <mergeCell ref="B1:C2"/>
    <mergeCell ref="D1:E2"/>
    <mergeCell ref="F1:G2"/>
    <mergeCell ref="H1:I2"/>
    <mergeCell ref="T1:V1"/>
    <mergeCell ref="T3:V3"/>
    <mergeCell ref="T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Синицын</dc:creator>
  <cp:lastModifiedBy>Данил Синицын</cp:lastModifiedBy>
  <dcterms:created xsi:type="dcterms:W3CDTF">2026-03-30T05:20:10Z</dcterms:created>
  <dcterms:modified xsi:type="dcterms:W3CDTF">2026-04-04T11:12:06Z</dcterms:modified>
</cp:coreProperties>
</file>